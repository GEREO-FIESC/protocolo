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istemafiesc-my.sharepoint.com/personal/felipe-ferreira_sesisc_org_br/Documents/Área de Trabalho/Automação/PROTOCOLO/"/>
    </mc:Choice>
  </mc:AlternateContent>
  <xr:revisionPtr revIDLastSave="17" documentId="13_ncr:1_{17700CC8-DC42-48C5-BD9B-C61BBF4D510B}" xr6:coauthVersionLast="47" xr6:coauthVersionMax="47" xr10:uidLastSave="{64882537-2032-4B45-88BB-15E43C9299B1}"/>
  <bookViews>
    <workbookView xWindow="-120" yWindow="-120" windowWidth="29040" windowHeight="17520" xr2:uid="{00000000-000D-0000-FFFF-FFFF00000000}"/>
  </bookViews>
  <sheets>
    <sheet name="MAR 2026" sheetId="3" r:id="rId1"/>
    <sheet name="rateio" sheetId="2" r:id="rId2"/>
    <sheet name="REGIONAIS-GEREX" sheetId="6" r:id="rId3"/>
    <sheet name="EXT. SINTÉTICO" sheetId="7" r:id="rId4"/>
    <sheet name="DÉBITO VSC" sheetId="8" r:id="rId5"/>
    <sheet name="CRÉDITO" sheetId="9" r:id="rId6"/>
    <sheet name="SEDEX REVERSO " sheetId="14" r:id="rId7"/>
  </sheets>
  <definedNames>
    <definedName name="_xlnm._FilterDatabase" localSheetId="3" hidden="1">'EXT. SINTÉTICO'!$B$3:$C$132</definedName>
    <definedName name="_xlnm._FilterDatabase" localSheetId="0" hidden="1">'MAR 2026'!$A$1:$J$248</definedName>
    <definedName name="_xlnm._FilterDatabase" localSheetId="1" hidden="1">rateio!$A$1:$E$173</definedName>
    <definedName name="_xlnm._FilterDatabase" localSheetId="2" hidden="1">'REGIONAIS-GEREX'!$A$2:$C$445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3" l="1"/>
  <c r="M2" i="3"/>
  <c r="M3" i="3"/>
  <c r="M4" i="3"/>
  <c r="M5" i="3"/>
  <c r="M6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J2" i="3"/>
  <c r="K2" i="3"/>
  <c r="I216" i="3"/>
  <c r="I25" i="3"/>
  <c r="I24" i="3"/>
  <c r="I23" i="3"/>
  <c r="I22" i="3"/>
  <c r="I21" i="3"/>
  <c r="I20" i="3"/>
  <c r="I19" i="3"/>
  <c r="I18" i="3"/>
  <c r="I17" i="3"/>
  <c r="I16" i="3"/>
  <c r="H216" i="3"/>
  <c r="H25" i="3"/>
  <c r="H24" i="3"/>
  <c r="H23" i="3"/>
  <c r="H22" i="3"/>
  <c r="H21" i="3"/>
  <c r="H20" i="3"/>
  <c r="H19" i="3"/>
  <c r="H18" i="3"/>
  <c r="H17" i="3"/>
  <c r="H16" i="3"/>
  <c r="E231" i="2"/>
  <c r="K159" i="3"/>
  <c r="J159" i="3"/>
  <c r="J194" i="3"/>
  <c r="K44" i="14"/>
  <c r="J118" i="3" l="1"/>
  <c r="C7" i="9"/>
  <c r="H96" i="3"/>
  <c r="H97" i="3"/>
  <c r="H98" i="3"/>
  <c r="H100" i="3"/>
  <c r="H101" i="3"/>
  <c r="H102" i="3"/>
  <c r="H161" i="3"/>
  <c r="H162" i="3"/>
  <c r="H163" i="3"/>
  <c r="H164" i="3"/>
  <c r="H168" i="3"/>
  <c r="H174" i="3"/>
  <c r="H175" i="3"/>
  <c r="H176" i="3"/>
  <c r="H178" i="3"/>
  <c r="H179" i="3"/>
  <c r="H180" i="3"/>
  <c r="H181" i="3"/>
  <c r="H182" i="3"/>
  <c r="H196" i="3"/>
  <c r="H197" i="3"/>
  <c r="H198" i="3"/>
  <c r="J217" i="3"/>
  <c r="E218" i="2"/>
  <c r="E173" i="2"/>
  <c r="J120" i="3"/>
  <c r="K156" i="3"/>
  <c r="K157" i="3"/>
  <c r="J156" i="3"/>
  <c r="J157" i="3"/>
  <c r="J117" i="3"/>
  <c r="K117" i="3"/>
  <c r="K118" i="3"/>
  <c r="J119" i="3"/>
  <c r="K119" i="3"/>
  <c r="K120" i="3"/>
  <c r="J121" i="3"/>
  <c r="K121" i="3"/>
  <c r="J122" i="3"/>
  <c r="K122" i="3"/>
  <c r="J123" i="3"/>
  <c r="K123" i="3"/>
  <c r="J124" i="3"/>
  <c r="K124" i="3"/>
  <c r="J125" i="3"/>
  <c r="K125" i="3"/>
  <c r="J126" i="3"/>
  <c r="K126" i="3"/>
  <c r="J127" i="3"/>
  <c r="K127" i="3"/>
  <c r="J128" i="3"/>
  <c r="K128" i="3"/>
  <c r="J129" i="3"/>
  <c r="K129" i="3"/>
  <c r="J130" i="3"/>
  <c r="K130" i="3"/>
  <c r="J131" i="3"/>
  <c r="K131" i="3"/>
  <c r="J132" i="3"/>
  <c r="K132" i="3"/>
  <c r="J133" i="3"/>
  <c r="K133" i="3"/>
  <c r="J134" i="3"/>
  <c r="K134" i="3"/>
  <c r="J135" i="3"/>
  <c r="K135" i="3"/>
  <c r="J136" i="3"/>
  <c r="K136" i="3"/>
  <c r="J137" i="3"/>
  <c r="K137" i="3"/>
  <c r="J138" i="3"/>
  <c r="K138" i="3"/>
  <c r="J139" i="3"/>
  <c r="K139" i="3"/>
  <c r="J140" i="3"/>
  <c r="K140" i="3"/>
  <c r="J141" i="3"/>
  <c r="K141" i="3"/>
  <c r="J142" i="3"/>
  <c r="K142" i="3"/>
  <c r="J143" i="3"/>
  <c r="K143" i="3"/>
  <c r="J144" i="3"/>
  <c r="K144" i="3"/>
  <c r="J145" i="3"/>
  <c r="K145" i="3"/>
  <c r="J146" i="3"/>
  <c r="K146" i="3"/>
  <c r="J147" i="3"/>
  <c r="K147" i="3"/>
  <c r="J148" i="3"/>
  <c r="K148" i="3"/>
  <c r="J149" i="3"/>
  <c r="K149" i="3"/>
  <c r="J150" i="3"/>
  <c r="K150" i="3"/>
  <c r="J151" i="3"/>
  <c r="K151" i="3"/>
  <c r="J152" i="3"/>
  <c r="K152" i="3"/>
  <c r="J153" i="3"/>
  <c r="K153" i="3"/>
  <c r="J154" i="3"/>
  <c r="K154" i="3"/>
  <c r="J155" i="3"/>
  <c r="K155" i="3"/>
  <c r="K92" i="3" l="1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58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E212" i="2"/>
  <c r="I161" i="3" l="1"/>
  <c r="I162" i="3"/>
  <c r="I163" i="3"/>
  <c r="I164" i="3"/>
  <c r="I168" i="3"/>
  <c r="I174" i="3"/>
  <c r="I175" i="3"/>
  <c r="I176" i="3"/>
  <c r="I178" i="3"/>
  <c r="I179" i="3"/>
  <c r="I180" i="3"/>
  <c r="I181" i="3"/>
  <c r="I182" i="3"/>
  <c r="I196" i="3"/>
  <c r="I197" i="3"/>
  <c r="I198" i="3"/>
  <c r="J213" i="3"/>
  <c r="K63" i="3" l="1"/>
  <c r="J63" i="3"/>
  <c r="J247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J12" i="3"/>
  <c r="J13" i="3"/>
  <c r="J14" i="3"/>
  <c r="J26" i="3"/>
  <c r="J27" i="3"/>
  <c r="J28" i="3"/>
  <c r="J29" i="3"/>
  <c r="J30" i="3"/>
  <c r="J31" i="3"/>
  <c r="J38" i="3"/>
  <c r="J50" i="3"/>
  <c r="J51" i="3"/>
  <c r="J62" i="3"/>
  <c r="J69" i="3"/>
  <c r="J70" i="3"/>
  <c r="J71" i="3"/>
  <c r="J72" i="3"/>
  <c r="J73" i="3"/>
  <c r="J74" i="3"/>
  <c r="J75" i="3"/>
  <c r="J76" i="3"/>
  <c r="J77" i="3"/>
  <c r="J79" i="3"/>
  <c r="J80" i="3"/>
  <c r="J81" i="3"/>
  <c r="J82" i="3"/>
  <c r="J83" i="3"/>
  <c r="J84" i="3"/>
  <c r="J85" i="3"/>
  <c r="J86" i="3"/>
  <c r="J87" i="3"/>
  <c r="J88" i="3"/>
  <c r="J89" i="3"/>
  <c r="J90" i="3"/>
  <c r="J92" i="3"/>
  <c r="J93" i="3"/>
  <c r="J94" i="3"/>
  <c r="J103" i="3"/>
  <c r="J105" i="3"/>
  <c r="J106" i="3"/>
  <c r="J107" i="3"/>
  <c r="J108" i="3"/>
  <c r="J109" i="3"/>
  <c r="J110" i="3"/>
  <c r="J111" i="3"/>
  <c r="J112" i="3"/>
  <c r="J113" i="3"/>
  <c r="J114" i="3"/>
  <c r="J115" i="3"/>
  <c r="J158" i="3"/>
  <c r="J165" i="3"/>
  <c r="J166" i="3"/>
  <c r="J170" i="3"/>
  <c r="J171" i="3"/>
  <c r="J172" i="3"/>
  <c r="J183" i="3"/>
  <c r="J184" i="3"/>
  <c r="J185" i="3"/>
  <c r="J186" i="3"/>
  <c r="J187" i="3"/>
  <c r="J188" i="3"/>
  <c r="J189" i="3"/>
  <c r="J190" i="3"/>
  <c r="J191" i="3"/>
  <c r="J192" i="3"/>
  <c r="J193" i="3"/>
  <c r="J199" i="3"/>
  <c r="J201" i="3"/>
  <c r="J202" i="3"/>
  <c r="J203" i="3"/>
  <c r="J204" i="3"/>
  <c r="J206" i="3"/>
  <c r="J207" i="3"/>
  <c r="J208" i="3"/>
  <c r="J209" i="3"/>
  <c r="J210" i="3"/>
  <c r="J211" i="3"/>
  <c r="J212" i="3"/>
  <c r="J214" i="3"/>
  <c r="J215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1" i="3"/>
  <c r="J232" i="3"/>
  <c r="J233" i="3"/>
  <c r="J235" i="3"/>
  <c r="J237" i="3"/>
  <c r="J238" i="3"/>
  <c r="J239" i="3"/>
  <c r="J240" i="3"/>
  <c r="J241" i="3"/>
  <c r="J242" i="3"/>
  <c r="J243" i="3"/>
  <c r="J244" i="3"/>
  <c r="J245" i="3"/>
  <c r="J246" i="3"/>
  <c r="J6" i="3"/>
  <c r="I41" i="3"/>
  <c r="I42" i="3"/>
  <c r="I43" i="3"/>
  <c r="I44" i="3"/>
  <c r="I45" i="3"/>
  <c r="I46" i="3"/>
  <c r="I47" i="3"/>
  <c r="I48" i="3"/>
  <c r="I49" i="3"/>
  <c r="I40" i="3"/>
  <c r="H40" i="3"/>
  <c r="H49" i="3"/>
  <c r="H41" i="3"/>
  <c r="H42" i="3"/>
  <c r="H43" i="3"/>
  <c r="H44" i="3"/>
  <c r="H45" i="3"/>
  <c r="H46" i="3"/>
  <c r="H47" i="3"/>
  <c r="H48" i="3"/>
  <c r="J41" i="3" l="1"/>
  <c r="J46" i="3"/>
  <c r="J44" i="3"/>
  <c r="J42" i="3"/>
  <c r="J45" i="3"/>
  <c r="J47" i="3"/>
  <c r="J48" i="3"/>
  <c r="J43" i="3"/>
  <c r="J49" i="3"/>
  <c r="J40" i="3"/>
  <c r="J168" i="3" l="1"/>
  <c r="H58" i="3" l="1"/>
  <c r="H57" i="3"/>
  <c r="H56" i="3"/>
  <c r="H37" i="3"/>
  <c r="H36" i="3"/>
  <c r="H35" i="3"/>
  <c r="H34" i="3"/>
  <c r="H33" i="3"/>
  <c r="I236" i="3" l="1"/>
  <c r="H236" i="3"/>
  <c r="I230" i="3"/>
  <c r="H230" i="3"/>
  <c r="J174" i="3"/>
  <c r="I102" i="3"/>
  <c r="I101" i="3"/>
  <c r="I100" i="3"/>
  <c r="I98" i="3"/>
  <c r="I97" i="3"/>
  <c r="I96" i="3"/>
  <c r="I53" i="3"/>
  <c r="I68" i="3"/>
  <c r="H68" i="3"/>
  <c r="I67" i="3"/>
  <c r="H67" i="3"/>
  <c r="I66" i="3"/>
  <c r="H66" i="3"/>
  <c r="I65" i="3"/>
  <c r="H65" i="3"/>
  <c r="I61" i="3"/>
  <c r="I60" i="3"/>
  <c r="I58" i="3"/>
  <c r="J58" i="3" s="1"/>
  <c r="I57" i="3"/>
  <c r="J57" i="3" s="1"/>
  <c r="I56" i="3"/>
  <c r="J56" i="3" s="1"/>
  <c r="I37" i="3"/>
  <c r="J37" i="3" s="1"/>
  <c r="I36" i="3"/>
  <c r="J36" i="3" s="1"/>
  <c r="I35" i="3"/>
  <c r="J35" i="3" s="1"/>
  <c r="I34" i="3"/>
  <c r="J34" i="3" s="1"/>
  <c r="I33" i="3"/>
  <c r="J33" i="3" s="1"/>
  <c r="H5" i="3"/>
  <c r="H4" i="3"/>
  <c r="I54" i="3" l="1"/>
  <c r="H61" i="3"/>
  <c r="H60" i="3"/>
  <c r="H54" i="3"/>
  <c r="H53" i="3"/>
  <c r="J179" i="3"/>
  <c r="J198" i="3"/>
  <c r="J176" i="3"/>
  <c r="J196" i="3"/>
  <c r="J181" i="3"/>
  <c r="J236" i="3"/>
  <c r="J65" i="3"/>
  <c r="J67" i="3"/>
  <c r="J97" i="3"/>
  <c r="J100" i="3"/>
  <c r="J102" i="3"/>
  <c r="J161" i="3"/>
  <c r="J163" i="3"/>
  <c r="J66" i="3"/>
  <c r="J68" i="3"/>
  <c r="J96" i="3"/>
  <c r="J98" i="3"/>
  <c r="J101" i="3"/>
  <c r="J162" i="3"/>
  <c r="J164" i="3"/>
  <c r="J175" i="3"/>
  <c r="J178" i="3"/>
  <c r="J180" i="3"/>
  <c r="J182" i="3"/>
  <c r="J197" i="3"/>
  <c r="J230" i="3"/>
  <c r="E233" i="2"/>
  <c r="J61" i="3" l="1"/>
  <c r="J53" i="3"/>
  <c r="J60" i="3"/>
  <c r="J54" i="3"/>
  <c r="H8" i="3"/>
  <c r="I4" i="3"/>
  <c r="J4" i="3" s="1"/>
  <c r="J22" i="3"/>
  <c r="J19" i="3"/>
  <c r="H9" i="3"/>
  <c r="I5" i="3"/>
  <c r="J5" i="3" s="1"/>
  <c r="J23" i="3"/>
  <c r="J16" i="3"/>
  <c r="J20" i="3"/>
  <c r="J216" i="3"/>
  <c r="I8" i="3"/>
  <c r="I9" i="3"/>
  <c r="I10" i="3"/>
  <c r="I11" i="3"/>
  <c r="J18" i="3"/>
  <c r="J24" i="3"/>
  <c r="J25" i="3"/>
  <c r="J21" i="3"/>
  <c r="J17" i="3"/>
  <c r="H10" i="3"/>
  <c r="H11" i="3"/>
  <c r="J8" i="3" l="1"/>
  <c r="J11" i="3"/>
  <c r="J10" i="3"/>
  <c r="J9" i="3"/>
  <c r="J248" i="3" l="1"/>
</calcChain>
</file>

<file path=xl/sharedStrings.xml><?xml version="1.0" encoding="utf-8"?>
<sst xmlns="http://schemas.openxmlformats.org/spreadsheetml/2006/main" count="1870" uniqueCount="804">
  <si>
    <t>ORDEM</t>
  </si>
  <si>
    <t xml:space="preserve">MALOTE/POSTAGEM </t>
  </si>
  <si>
    <t xml:space="preserve">FILIAL </t>
  </si>
  <si>
    <t xml:space="preserve">CR </t>
  </si>
  <si>
    <t xml:space="preserve">PROJETO </t>
  </si>
  <si>
    <t>MALOTE/POSTAGEM</t>
  </si>
  <si>
    <t xml:space="preserve">VALOR </t>
  </si>
  <si>
    <t>VALOR VSC PERCURSO</t>
  </si>
  <si>
    <t>TOTAL</t>
  </si>
  <si>
    <t xml:space="preserve">Malote </t>
  </si>
  <si>
    <t>SESI - UOS - Brusque</t>
  </si>
  <si>
    <t>SESI - UOS - Itajaí</t>
  </si>
  <si>
    <t>SESI - UOS - Lages</t>
  </si>
  <si>
    <t xml:space="preserve">SESI - UOS - Criciúma </t>
  </si>
  <si>
    <t>SESI - UOS Blum - FM 546/548/549/550/551/554/596/597/564/905</t>
  </si>
  <si>
    <t>SESI - UOS - Jaraguá do Sul - FM -S.A</t>
  </si>
  <si>
    <t>SESI - UOS - Videira</t>
  </si>
  <si>
    <t>SESI - UOS 207 - Concórdia FM 510/587/SA807</t>
  </si>
  <si>
    <t xml:space="preserve">SESI - 207 - UOS CONCÓRDIA  3% </t>
  </si>
  <si>
    <t>SESI - 207 - UOS CONCÓRDIA - Fl. 244 3%</t>
  </si>
  <si>
    <t>SESI - S.A 807</t>
  </si>
  <si>
    <t>SESI - UOS-Joinv-FM 556/557/559/560/562/563/574/586/592/599</t>
  </si>
  <si>
    <t>SESI - UOS JOINVILLE</t>
  </si>
  <si>
    <t xml:space="preserve">SESI - UOS - Joaçaba -  213 </t>
  </si>
  <si>
    <t>SESI - UOS - Tubarão/FM 588</t>
  </si>
  <si>
    <t xml:space="preserve">SESI - UOS TUBARÃO </t>
  </si>
  <si>
    <t>SESI - JOAÇABA</t>
  </si>
  <si>
    <t>SESI - JOAÇABA - 50%</t>
  </si>
  <si>
    <t>SESI - JOAÇABA - 25%</t>
  </si>
  <si>
    <t>SESI - Pinhalzinho</t>
  </si>
  <si>
    <t>SESI FM 516 - Videira</t>
  </si>
  <si>
    <t>SESI - S.A .Coz. Ind. BRF Campo Verde</t>
  </si>
  <si>
    <t>SESI - SESI BLU 202 CENTRO ESP EDUC DE BLUMENAU</t>
  </si>
  <si>
    <t>SESI MEO 204 CENTRO DE ATIVIDADES DE CAÇADOR</t>
  </si>
  <si>
    <t>SESI GFP 209 CENTRO DE ATIVIDADES DE SÃO JOSÉ</t>
  </si>
  <si>
    <t xml:space="preserve">SESI MEO 213 CENTRO DE ATIVIDADES DE JOAÇABA </t>
  </si>
  <si>
    <t>SESI JOI 214 CENTRO DE ATIVIDADES DE JOINVILLE</t>
  </si>
  <si>
    <t xml:space="preserve">SESI 215 CENTRO DE ATIVIDADES DE LAGES </t>
  </si>
  <si>
    <t xml:space="preserve">SESI MEO 223 CENTRO DE ATIVIDADES </t>
  </si>
  <si>
    <t xml:space="preserve">SESI PLN 205 CENTRO DE ATIVIDADES DE CANOINHAS </t>
  </si>
  <si>
    <t>SESI OES 207 CENTRO DE ATIVIDADES DE CONCORDIA</t>
  </si>
  <si>
    <t xml:space="preserve">SESI OES 229 CENTRO DE ATIVIDADES SÃO MIGUEL </t>
  </si>
  <si>
    <t xml:space="preserve">SESI 865 COZ IND SADIA DOIS VIZINHOS </t>
  </si>
  <si>
    <t xml:space="preserve">SESI RDS 219 CENTRO DE ATIVIDADE DE RIO DO SUL </t>
  </si>
  <si>
    <t>SESI TUBARÃO SAÚDE</t>
  </si>
  <si>
    <t xml:space="preserve">SESI GCS 861 COZ IND SADIA UBERLANDIA RAÇÃO </t>
  </si>
  <si>
    <t>SESI - S.A 804 COZ IND BRF Uberlândia Abatedouro</t>
  </si>
  <si>
    <t>SESI CRICIUMA SAUDE</t>
  </si>
  <si>
    <t>SESI CRICIUMA CONVENIO FARMACIAS - FM 506-513-530-542-569-576-577-582-588</t>
  </si>
  <si>
    <t xml:space="preserve">SESI -RIO DO SUL </t>
  </si>
  <si>
    <t xml:space="preserve">SESI - XANXERE </t>
  </si>
  <si>
    <t>SESI - SÃO BENTO DO SUL</t>
  </si>
  <si>
    <t>SESI - CHAPECO x XANXERÊ</t>
  </si>
  <si>
    <t>SESI - CHAPECO x XANXERÊ - UOS 206 - 30%</t>
  </si>
  <si>
    <t>SESI - CHAPECO x XANXERÊ - UOS 233 - 30%</t>
  </si>
  <si>
    <t>SESI - CHAPECO x XANXERÊ - FM 570 - 20%</t>
  </si>
  <si>
    <t>SESI - CHAPECÓ x SÃO MIGUEL DO OESTE</t>
  </si>
  <si>
    <t>SESI - CHAPECÓ x SÃO MIGUEL DO OESTE - UOS 206 - 40%</t>
  </si>
  <si>
    <t>SESI - CHAPECÓ x SÃO MIGUEL DO OESTE - UO 229 - 40%</t>
  </si>
  <si>
    <t>SESI - CHAPECÓ x SÃO MIGUEL DO OESTE - FM 532 - 20%</t>
  </si>
  <si>
    <t>CRSC CAÇADOR - CURITIBANOS</t>
  </si>
  <si>
    <t>SESI - S.A BRF 8015</t>
  </si>
  <si>
    <t>SESI CANOINHAS</t>
  </si>
  <si>
    <t>SESI GECON</t>
  </si>
  <si>
    <t>SESI GEPES</t>
  </si>
  <si>
    <t>SESI GENGE</t>
  </si>
  <si>
    <t>SESI FAN / ALIMENTAÇÃO</t>
  </si>
  <si>
    <t>SESI S.A. 8010 MOSSUNGUE</t>
  </si>
  <si>
    <t>SESI S.A. 8004 BUNGE ALIMENTOS</t>
  </si>
  <si>
    <t>SESI FAN / FARMACIA</t>
  </si>
  <si>
    <t>SESI-GARS</t>
  </si>
  <si>
    <t>Postagem</t>
  </si>
  <si>
    <t>SEDEX REVERSO</t>
  </si>
  <si>
    <t>POSTAGEM</t>
  </si>
  <si>
    <t>ITB 211 CENTRO DE ATIVIDADES DE ITAJAÍ</t>
  </si>
  <si>
    <t>SESI VIDEIRA - FRAIBURGO</t>
  </si>
  <si>
    <t>MALOTE</t>
  </si>
  <si>
    <t>SESI VIDEIRA - FRAIBURGO - 914 10%</t>
  </si>
  <si>
    <t>SESI VIDEIRA - FRAIBURGO - 516 40%</t>
  </si>
  <si>
    <t>SESI VIDEIRA - FRAIBURGO - 522 30%</t>
  </si>
  <si>
    <t>SESI VIDEIRA - FRAIBURGO - 515 20%</t>
  </si>
  <si>
    <t>JOI 816 COZ IND FIEPR</t>
  </si>
  <si>
    <t>SESI - GESIN</t>
  </si>
  <si>
    <t>SESI / SENAI / IEL - COMAR</t>
  </si>
  <si>
    <t>SESI ENG</t>
  </si>
  <si>
    <t>4067 - São Miguel do Oeste</t>
  </si>
  <si>
    <t>CAMPOS NOVOS</t>
  </si>
  <si>
    <t>SESI JOAÇABA</t>
  </si>
  <si>
    <t>SESI JOAÇABA - 10%</t>
  </si>
  <si>
    <t>SESI JOAÇABA - 40%</t>
  </si>
  <si>
    <t>SESI JOAÇABA - 30%</t>
  </si>
  <si>
    <t>SESI- CLÍNICA BRUSQUE - 236</t>
  </si>
  <si>
    <t>Vargem Bonita - 916</t>
  </si>
  <si>
    <t>CDD São Bento do Sul</t>
  </si>
  <si>
    <t>SESI FARMACIA 528</t>
  </si>
  <si>
    <t>SENAI-GEDUP</t>
  </si>
  <si>
    <t>SESI CHAPECÓ</t>
  </si>
  <si>
    <t>FM530 - Curitibanos</t>
  </si>
  <si>
    <t>SESI CAÇADOR</t>
  </si>
  <si>
    <t>SESI FILIAL 518</t>
  </si>
  <si>
    <t>FM 593 -517 - 570</t>
  </si>
  <si>
    <t xml:space="preserve">FM 593 </t>
  </si>
  <si>
    <t>FM 517</t>
  </si>
  <si>
    <t>FM 570</t>
  </si>
  <si>
    <t>TOTAL SESI</t>
  </si>
  <si>
    <t>SENAI Videira</t>
  </si>
  <si>
    <t>SENAI - Chapeco</t>
  </si>
  <si>
    <t>SENAI - Lages</t>
  </si>
  <si>
    <t>SENAI - Tubarão</t>
  </si>
  <si>
    <t>SENAI CTAI NAA SECRETARIA ESCOLAR</t>
  </si>
  <si>
    <t>SENAI LAGES</t>
  </si>
  <si>
    <t xml:space="preserve">SENAI CHAPECO </t>
  </si>
  <si>
    <t>SENAI BRUSQUE</t>
  </si>
  <si>
    <t xml:space="preserve">SENAI ITAJAI </t>
  </si>
  <si>
    <t>SENAI GEPES</t>
  </si>
  <si>
    <t>SENAI GECON</t>
  </si>
  <si>
    <t>SENAI BLUMENAU - UNIDADE 3</t>
  </si>
  <si>
    <t>SENAI - Criciuma</t>
  </si>
  <si>
    <t>SENAI - Joinville</t>
  </si>
  <si>
    <t>SENAI - São Bento do Sul</t>
  </si>
  <si>
    <t>SENAI - Caçador</t>
  </si>
  <si>
    <t>SENAI - Itajaí</t>
  </si>
  <si>
    <t>SENAI - Brusque</t>
  </si>
  <si>
    <t>SENAI GETIC</t>
  </si>
  <si>
    <t>SENAI ISI SISTEMAS DE MANUFATURA</t>
  </si>
  <si>
    <t>SENAI - BLUMENAU</t>
  </si>
  <si>
    <t>FEDERAÇÃO DAS IND EST SANTA CATARINA</t>
  </si>
  <si>
    <t>FIESC</t>
  </si>
  <si>
    <t>ISI SISTEMAS EMBARCADOS</t>
  </si>
  <si>
    <t>SENAI - GECON ARE</t>
  </si>
  <si>
    <t>SENAI CHAPECÓ</t>
  </si>
  <si>
    <t>FILIAL 92-CDI</t>
  </si>
  <si>
    <t>FILIA 94- IST SOLUÇÕES DIGITAIS</t>
  </si>
  <si>
    <t xml:space="preserve">TOTAL SENAI </t>
  </si>
  <si>
    <t>IEL - CHAPECÓ</t>
  </si>
  <si>
    <t>IEL - EDUCAÇÃO</t>
  </si>
  <si>
    <t>IEL GECON</t>
  </si>
  <si>
    <t>IEL DR</t>
  </si>
  <si>
    <t>CIESC</t>
  </si>
  <si>
    <t>FIESC PRE</t>
  </si>
  <si>
    <t xml:space="preserve">FIESC GEPES </t>
  </si>
  <si>
    <t xml:space="preserve">FIESC GETIC </t>
  </si>
  <si>
    <t>FIESC - NAS</t>
  </si>
  <si>
    <t>FIESC – GEINT</t>
  </si>
  <si>
    <t>FIESC GEADM</t>
  </si>
  <si>
    <t>FIESC-GECON</t>
  </si>
  <si>
    <t>CIESC - GECON</t>
  </si>
  <si>
    <t>FIESC - GECOR</t>
  </si>
  <si>
    <t>FIESC GEFIE</t>
  </si>
  <si>
    <t>TOTAL - FIESC / SESI / SENAI / IEL / CIESC</t>
  </si>
  <si>
    <t>SESI</t>
  </si>
  <si>
    <t>SENAI</t>
  </si>
  <si>
    <t>IEL</t>
  </si>
  <si>
    <t>NUCLEO GEFAN -LAGES 517 - SESI FM GEFAN LAGES</t>
  </si>
  <si>
    <t>Malote</t>
  </si>
  <si>
    <t xml:space="preserve">Postagem </t>
  </si>
  <si>
    <t>Nº CARTÃO</t>
  </si>
  <si>
    <t>FIESC - SENAI ISI JOINVILLE</t>
  </si>
  <si>
    <t>SENAI 97 - LAB365</t>
  </si>
  <si>
    <t xml:space="preserve">SESI - UOS - CAÇADOR </t>
  </si>
  <si>
    <t xml:space="preserve">SESI -UOS- SÃO BENTO DO SUL </t>
  </si>
  <si>
    <t xml:space="preserve">SESI UOS JARAGUA DO SUL </t>
  </si>
  <si>
    <t>SESI 432 JARAGUA DO SUL</t>
  </si>
  <si>
    <t>POstagem</t>
  </si>
  <si>
    <t>SENAI 54 SÃO BENTO DO SUL II</t>
  </si>
  <si>
    <t>SENAI 81 INST DE LOGISITCA DE PRODUÇÃO ITAJAÍ</t>
  </si>
  <si>
    <t>FM 504</t>
  </si>
  <si>
    <t>SESI - UOS - Criciuma -FM506/FM513/FM576</t>
  </si>
  <si>
    <t>SESI FM 529</t>
  </si>
  <si>
    <t xml:space="preserve">SESI PLN 221 CENTRO DE ATIVIDADES SÃO BENTO </t>
  </si>
  <si>
    <t>FILIAL</t>
  </si>
  <si>
    <t>CR</t>
  </si>
  <si>
    <t>FM599</t>
  </si>
  <si>
    <t>SESI SA - 8002</t>
  </si>
  <si>
    <t>FM 519</t>
  </si>
  <si>
    <t xml:space="preserve">VALOR TOTAL </t>
  </si>
  <si>
    <t xml:space="preserve">UNIDADES </t>
  </si>
  <si>
    <t>REGIONAIS/GEREX</t>
  </si>
  <si>
    <t>FM516 - Videira</t>
  </si>
  <si>
    <t>FM506</t>
  </si>
  <si>
    <t>FM513</t>
  </si>
  <si>
    <t>FM576</t>
  </si>
  <si>
    <t>FM582 - Criciúma</t>
  </si>
  <si>
    <t>FM569 - Cocal do Sul</t>
  </si>
  <si>
    <t>FM577 - Ararangua</t>
  </si>
  <si>
    <t>FM546</t>
  </si>
  <si>
    <t>FM548</t>
  </si>
  <si>
    <t>FM549</t>
  </si>
  <si>
    <t>FM550</t>
  </si>
  <si>
    <t>FM551</t>
  </si>
  <si>
    <t>FM554</t>
  </si>
  <si>
    <t>FM596</t>
  </si>
  <si>
    <t>FM597</t>
  </si>
  <si>
    <t>FM564</t>
  </si>
  <si>
    <t xml:space="preserve"> FM905</t>
  </si>
  <si>
    <t>FM515 - Caçador</t>
  </si>
  <si>
    <t>FM522 - Fraiburgo</t>
  </si>
  <si>
    <t>FM925 - CAPINZAL</t>
  </si>
  <si>
    <t>FM510</t>
  </si>
  <si>
    <t>FM587</t>
  </si>
  <si>
    <t>FM534 - Ibirama</t>
  </si>
  <si>
    <t>FM556</t>
  </si>
  <si>
    <t>FM557</t>
  </si>
  <si>
    <t>FM559</t>
  </si>
  <si>
    <t>FM560</t>
  </si>
  <si>
    <t>FM562</t>
  </si>
  <si>
    <t>FM563</t>
  </si>
  <si>
    <t>FM574</t>
  </si>
  <si>
    <t>FM586</t>
  </si>
  <si>
    <t>FM914 - Caçador</t>
  </si>
  <si>
    <t xml:space="preserve"> FM588</t>
  </si>
  <si>
    <t>FM517 - FM 532 - FM 570 - FM 593</t>
  </si>
  <si>
    <t>SA 8026</t>
  </si>
  <si>
    <t>SA 8029</t>
  </si>
  <si>
    <t>REGIONAL</t>
  </si>
  <si>
    <t>CODIGO</t>
  </si>
  <si>
    <t>Planalto Norte e Vale do Itapocu</t>
  </si>
  <si>
    <t>217 - SESI/SC - Mafra</t>
  </si>
  <si>
    <t>Alto Vale do Itajaí</t>
  </si>
  <si>
    <t>219 - SESI/SC - Rio do Sul</t>
  </si>
  <si>
    <t>221 - SESI/SC - São Bento do Sul</t>
  </si>
  <si>
    <t>Sudeste</t>
  </si>
  <si>
    <t>209 - SESI/SC - São José</t>
  </si>
  <si>
    <t>Litoral Sul e Sul</t>
  </si>
  <si>
    <t>222 - SESI/SC - Tubarão</t>
  </si>
  <si>
    <t>Centro Norte</t>
  </si>
  <si>
    <t>223 - SESI/SC - Videira</t>
  </si>
  <si>
    <t>228 - SESI/SC - São Bento do Sul II</t>
  </si>
  <si>
    <t>534 - farmaSesi Ibirama</t>
  </si>
  <si>
    <t>532 - farmaSesi São Miguel do Oeste</t>
  </si>
  <si>
    <t>531 - farmaSesi Canoinhas</t>
  </si>
  <si>
    <t>530 - farmaSesi Curitibanos</t>
  </si>
  <si>
    <t>529 - farmaSesi Rio do Sul</t>
  </si>
  <si>
    <t>528 - farmaSesi Coral</t>
  </si>
  <si>
    <t>527 - farmaSesi Central</t>
  </si>
  <si>
    <t>526 - farmaSesi Tijucas</t>
  </si>
  <si>
    <t>557 - farmaSesi Boa Vista</t>
  </si>
  <si>
    <t>556 - farmaSesi Videira II</t>
  </si>
  <si>
    <t>554 - farmaSesi Itoupava Norte</t>
  </si>
  <si>
    <t>551 - farmaSesi Rua XV 24h</t>
  </si>
  <si>
    <t>550 - farmaSesi Fortaleza</t>
  </si>
  <si>
    <t>549 - farmaSesi Benjamin Constant</t>
  </si>
  <si>
    <t>548 - farmaSesi Garcia</t>
  </si>
  <si>
    <t>581 - farmaSesi Coqueiros</t>
  </si>
  <si>
    <t>579 - farmaSesi Canta Galo</t>
  </si>
  <si>
    <t>577 - farmaSesi Araranguá</t>
  </si>
  <si>
    <t>576 - farmaSesi Pedro Benedet</t>
  </si>
  <si>
    <t>574 - farmaSesi Pirabeiraba</t>
  </si>
  <si>
    <t>570 - farmaSesi Xanxerê</t>
  </si>
  <si>
    <t>597 - farmaSesi Itoupava Central</t>
  </si>
  <si>
    <t>596 - farmaSesi Fonte Luminosa</t>
  </si>
  <si>
    <t>593 - farmaSesi Chapecó - Efapi</t>
  </si>
  <si>
    <t>592 - farmaSesi Iririu</t>
  </si>
  <si>
    <t>425 - alimentaSesi FIESC Florianópolis - SC</t>
  </si>
  <si>
    <t>419 - alimentaSesi Fischer Brusque - SC</t>
  </si>
  <si>
    <t>440 - alimentaSesi Uniplast Joinville - SC</t>
  </si>
  <si>
    <t>439 - alimentaSesi Altenburg I Blumenau - SC</t>
  </si>
  <si>
    <t>474 - alimentaSesi Buddemeyer São Bento do Sul - SC</t>
  </si>
  <si>
    <t>473 - alimentaSesi Tuper São Bento do Sul - SC</t>
  </si>
  <si>
    <t>472 - alimentaSesi Weihermann São Bento do Sul - SC</t>
  </si>
  <si>
    <t>471 - alimentaSesi Sede São Bento do Sul - SC</t>
  </si>
  <si>
    <t>216 - SESI/SC - Orleans</t>
  </si>
  <si>
    <t>Serra Catarinense</t>
  </si>
  <si>
    <t>215 - SESI/SC - Lages</t>
  </si>
  <si>
    <t>Alto Uruguai Catarinense e Centro Oeste</t>
  </si>
  <si>
    <t>213 - SESI/SC - Joaçaba</t>
  </si>
  <si>
    <t>Norte Nordeste</t>
  </si>
  <si>
    <t>214 - SESI/SC - Joinville Sul (Ministro)</t>
  </si>
  <si>
    <t>212 - SESI/SC - Jaraguá do Sul</t>
  </si>
  <si>
    <t>Vale do Itajaí Mirim e Foz do Rio Itajaí</t>
  </si>
  <si>
    <t>211 - SESI/SC - Itajaí</t>
  </si>
  <si>
    <t>208 - SESI/SC - Criciúma</t>
  </si>
  <si>
    <t>207 - SESI/SC - Centro Esportivo Concórdia</t>
  </si>
  <si>
    <t>Extremo Oeste e Oeste</t>
  </si>
  <si>
    <t>206 - SESI/SC - Chapecó</t>
  </si>
  <si>
    <t>205 - SESI/SC - Canoinhas</t>
  </si>
  <si>
    <t>204 - SESI/SC - Caçador</t>
  </si>
  <si>
    <t>203 - SESI/SC - Brusque</t>
  </si>
  <si>
    <t>Vale do Itajaí</t>
  </si>
  <si>
    <t>202 - SESI/SC - Blumenau</t>
  </si>
  <si>
    <t>100 - SESI/SC - Departamento Regional</t>
  </si>
  <si>
    <t>459 - alimentaSesi Dicave Araquari - SC</t>
  </si>
  <si>
    <t>457 - alimentaSesi Lepper II Joinville - SC</t>
  </si>
  <si>
    <t>432 - alimentaSesi Malhas Menegotti Jaraguá - SC</t>
  </si>
  <si>
    <t>410 - alimentaSesi Netzch do Brasil Pomerode - SC</t>
  </si>
  <si>
    <t>588 - farmaSesi Vila Moema</t>
  </si>
  <si>
    <t>587 - farmaSesi Marechal Deodoro</t>
  </si>
  <si>
    <t>586 - farmaSesi Vila Nova</t>
  </si>
  <si>
    <t>582 - farmaSesi Rio Maina</t>
  </si>
  <si>
    <t>569 - farmaSesi Cocal do Sul</t>
  </si>
  <si>
    <t>568 - farmaSesi Oxford</t>
  </si>
  <si>
    <t>564 - farmaSesi Indaial</t>
  </si>
  <si>
    <t>563 - farmaSesi Itaum</t>
  </si>
  <si>
    <t>562 - farmaSesi Embraco</t>
  </si>
  <si>
    <t>561 - farmaSesi Pedra Branca</t>
  </si>
  <si>
    <t>560 - farmaSesi Whirlpool</t>
  </si>
  <si>
    <t>559 - farmaSesi Aventureiro</t>
  </si>
  <si>
    <t>546 - farmaSesi Pomerode Centro</t>
  </si>
  <si>
    <t>545 - farmaSesi Correia Pinto</t>
  </si>
  <si>
    <t>544 - farmaSesi Trindade</t>
  </si>
  <si>
    <t>543 - farmaSesi Herval D'Oeste</t>
  </si>
  <si>
    <t>542 - farmaSesi Braço do Norte</t>
  </si>
  <si>
    <t>540 - farmaSesi Rio Negrinho</t>
  </si>
  <si>
    <t>538 - farmaSesi São Bento do Sul - Centenário</t>
  </si>
  <si>
    <t>536 - farmaSesi Mafra</t>
  </si>
  <si>
    <t>522 - farmaSesi Fraiburgo</t>
  </si>
  <si>
    <t>520 - farmaSesi Otacílio Costa</t>
  </si>
  <si>
    <t>518 - farmaSesi Joaçaba</t>
  </si>
  <si>
    <t>516 - farmaSesi Videira</t>
  </si>
  <si>
    <t>511 - farmaSesi Chico de Paulo</t>
  </si>
  <si>
    <t>512 - farmaSesi São Bento do Sul</t>
  </si>
  <si>
    <t>IEL/SC - Departamento Regional</t>
  </si>
  <si>
    <t>SENAI/SC - São José</t>
  </si>
  <si>
    <t>SENAI/SC - Criciúma</t>
  </si>
  <si>
    <t>SENAI/SC - Florianópolis</t>
  </si>
  <si>
    <t>SENAI/SC - Lages</t>
  </si>
  <si>
    <t>SENAI/SC - São Miguel do Oeste</t>
  </si>
  <si>
    <t>SENAI/SC - Canoinhas</t>
  </si>
  <si>
    <t>SENAI/SC - Jaraguá do Sul</t>
  </si>
  <si>
    <t>SENAI/SC - Itajaí</t>
  </si>
  <si>
    <t>SENAI/SC - Chapecó</t>
  </si>
  <si>
    <t>SENAI/SC - Brusque</t>
  </si>
  <si>
    <t>SENAI/SC - Joinville Norte I</t>
  </si>
  <si>
    <t>SENAI/SC - Xanxerê</t>
  </si>
  <si>
    <t>SENAI/SC - Concórdia</t>
  </si>
  <si>
    <t>SENAI/SC - Blumenau</t>
  </si>
  <si>
    <t>SENAI/SC - Tijucas</t>
  </si>
  <si>
    <t>SENAI/SC - São Bento do Sul</t>
  </si>
  <si>
    <t>SENAI/SC - Rio do Sul</t>
  </si>
  <si>
    <t>SENAI/SC - Caçador</t>
  </si>
  <si>
    <t>SENAI/SC - Luzerna</t>
  </si>
  <si>
    <t>SENAI/SC - Tubarão</t>
  </si>
  <si>
    <t>SENAI/SC - Videira</t>
  </si>
  <si>
    <t>SENAI/SC - Direção Regional</t>
  </si>
  <si>
    <t>510 - farmaSesi Concórdia</t>
  </si>
  <si>
    <t>513 - farmaSesi Criciúma</t>
  </si>
  <si>
    <t>515 - farmaSesi Caçador</t>
  </si>
  <si>
    <t>517 - farmaSesi Chapecó</t>
  </si>
  <si>
    <t>519 - farmaSesi São Lourenço do Oeste</t>
  </si>
  <si>
    <t>521 - farmaSesi Brusque Centro</t>
  </si>
  <si>
    <t>523 - farmaSesi Itajaí</t>
  </si>
  <si>
    <t>598 - farmaSesi Campos Novos</t>
  </si>
  <si>
    <t>599 - farmaSesi Princesa Isabel</t>
  </si>
  <si>
    <t>504 - farmaSesi Brusque Maluche</t>
  </si>
  <si>
    <t>505 - farmaSesi Jorge Lacerda</t>
  </si>
  <si>
    <t>506 - farmaSesi João Zanette</t>
  </si>
  <si>
    <t>GEFAN - SAFE</t>
  </si>
  <si>
    <t>804 - alimentaSesi BRF Frigorífico Uberlândia - MG</t>
  </si>
  <si>
    <t>805 - alimentaSesi BRF Abatedouro Uberlândia - MG</t>
  </si>
  <si>
    <t>Centro de Educação, Eventos e Lazer do SENAI</t>
  </si>
  <si>
    <t>807 - alimentaSesi BRF Concordia - SC</t>
  </si>
  <si>
    <t>808 - alimentaSesi BRF Chapecó - SC</t>
  </si>
  <si>
    <t>900 - farmaSesi Serra Alta</t>
  </si>
  <si>
    <t>816 - alimentaSesi FIEPR Curitiba - PR</t>
  </si>
  <si>
    <t>902 - farmaSesi Costa e Silva</t>
  </si>
  <si>
    <t>229 - SESI/SC - São Miguel do Oeste</t>
  </si>
  <si>
    <t>903 - farmaSesi Campeche</t>
  </si>
  <si>
    <t>822 - alimentaSesi São Francisco do Sul - SC</t>
  </si>
  <si>
    <t>SENAI/SC - Indaial</t>
  </si>
  <si>
    <t>SENAI/SC - Pomerode</t>
  </si>
  <si>
    <t>SENAI/SC - São João Batista</t>
  </si>
  <si>
    <t>904 - farmaSesi Palhoça</t>
  </si>
  <si>
    <t>838 - alimentaSesi Royal Ciclo Rio do Sul - SC</t>
  </si>
  <si>
    <t>906 - farmaSesi Perini</t>
  </si>
  <si>
    <t>905 - farmaSesi Timbó</t>
  </si>
  <si>
    <t>840 - alimentaSesi Haco Blumenau - SC</t>
  </si>
  <si>
    <t>233 - SESI/SC - Xanxerê</t>
  </si>
  <si>
    <t>844 - alimentaSesi Zanella Rio do Sul - SC</t>
  </si>
  <si>
    <t>851 - alimentaSesi Móveis James São Bento do Sul - SC</t>
  </si>
  <si>
    <t>852 - alimentaSesi Prevemax Videira - SC</t>
  </si>
  <si>
    <t>853 - alimentaSesi Coteminas Blumenau - SC</t>
  </si>
  <si>
    <t>856 - alimentaSesi Brasília - DF</t>
  </si>
  <si>
    <t>855 - alimentaSesi BRF Faxinal dos Guedes - SC</t>
  </si>
  <si>
    <t>861 - alimentaSesi BRF Ração Uberlândia - MG</t>
  </si>
  <si>
    <t>857 - alimentaSesi BRF Toledo - PR</t>
  </si>
  <si>
    <t>859 - alimentaSesi BRF Paranaguá - PR</t>
  </si>
  <si>
    <t>863 - alimentaSesi Weg Itajaí - SC</t>
  </si>
  <si>
    <t>865 - alimentaSesi BRF Dois Vizinhos - PR</t>
  </si>
  <si>
    <t>235 - SESI/SC - Blumenau (Centro)</t>
  </si>
  <si>
    <t>236 - SESI/SC - Clínica Brusque</t>
  </si>
  <si>
    <t>871 - alimentaSesi Minusa Lages - SC</t>
  </si>
  <si>
    <t>875 - alimentaSesi Auto Viação Catarinense Florianópolis - SC</t>
  </si>
  <si>
    <t>879 - alimentaSesi Círculo Gaspar - SC</t>
  </si>
  <si>
    <t>248 - SESI/SC - Concórdia</t>
  </si>
  <si>
    <t>238 - SESI/SC - Brusque II</t>
  </si>
  <si>
    <t>241 - SESI/SC - Timbó</t>
  </si>
  <si>
    <t>914 - farmaSesi Alto Avenida</t>
  </si>
  <si>
    <t>242 - SESI/SC - Ipumirim</t>
  </si>
  <si>
    <t>244 - SESI/SC - Seara</t>
  </si>
  <si>
    <t>245 - SESI/SC - Criciúma II</t>
  </si>
  <si>
    <t>888 - alimentaSesi BRF Palmas Coronel Domingos Soares - PR</t>
  </si>
  <si>
    <t>250 - SESI/SC - Clínica Joinville (Perini)</t>
  </si>
  <si>
    <t>890 - alimentaSesi Altenburg Blumenau - SC</t>
  </si>
  <si>
    <t>892 - alimentaSesi BRF Irani - SC</t>
  </si>
  <si>
    <t>260 - SESI/SC - Joinville (Tupy)</t>
  </si>
  <si>
    <t>893 - alimentaSesi DVA São José - SC</t>
  </si>
  <si>
    <t>261 - SESI/SC - Pinhalzinho</t>
  </si>
  <si>
    <t>915 - farmaSesi Jaraguá do Sul</t>
  </si>
  <si>
    <t>264 - SESI/SC - Balneário Camboriú</t>
  </si>
  <si>
    <t>916 - farmaSesi Vargem Bonita</t>
  </si>
  <si>
    <t>896 - alimentaSesi Ecoflex São Bento do Sul - SC</t>
  </si>
  <si>
    <t>273 - SESI/SC - Braço do Norte</t>
  </si>
  <si>
    <t>SENAI/SC - São Lourenço do Oeste</t>
  </si>
  <si>
    <t>SENAI/SC - Capinzal</t>
  </si>
  <si>
    <t>SENAI/SC - Curitibanos</t>
  </si>
  <si>
    <t>SENAI/SC - Capivari de Baixo</t>
  </si>
  <si>
    <t>SENAI/SC - Palhoça</t>
  </si>
  <si>
    <t>SENAI/SC - Balneário Camboriú</t>
  </si>
  <si>
    <t>SENAI/SC - Mafra</t>
  </si>
  <si>
    <t>SENAI/SC - Timbó</t>
  </si>
  <si>
    <t>SENAI/SC - Joinville Moinho</t>
  </si>
  <si>
    <t>SENAI/SC - Joinville Sul</t>
  </si>
  <si>
    <t>4002 - alimentaSesi Polpa Brasil Fraiburgo - SC</t>
  </si>
  <si>
    <t>277 - SESI/SC - Itapema</t>
  </si>
  <si>
    <t>4004 - alimentaSesi Baungarten Blumenau - SC</t>
  </si>
  <si>
    <t>4005 - alimentaSesi Farbe Indaial - SC</t>
  </si>
  <si>
    <t>285 - SESI/SC - São José do Cedro</t>
  </si>
  <si>
    <t>286 - SESI/SC - Academia Joinville (Whirlpool)</t>
  </si>
  <si>
    <t>288 - SESI/SC - Academia Otacílio Costa</t>
  </si>
  <si>
    <t>289 - SESI/SC - Academia Joinville (Tupy)</t>
  </si>
  <si>
    <t>290 - SESI/SC - Academia Tubarão</t>
  </si>
  <si>
    <t>291 - SESI/SC - Clínica São Ludgero (Copobrás)</t>
  </si>
  <si>
    <t>4007 - alimentaSesi Sede Joaçaba - SC</t>
  </si>
  <si>
    <t>8002 - alimentaSesi Dourados - MS</t>
  </si>
  <si>
    <t>8004 - alimentaSesi Rondonópolis - MT</t>
  </si>
  <si>
    <t>294 - SESI/SC - Seara II</t>
  </si>
  <si>
    <t>296 - SESI/SC - Audiometria Ipumirim (JBS)</t>
  </si>
  <si>
    <t>298 - SESI/SC - São Lourenço do Oeste</t>
  </si>
  <si>
    <t>4008 - alimentaSesi Fuck Três Barras - SC</t>
  </si>
  <si>
    <t>4009 - alimentaSesi Enele São Lourenço do Oeste - SC</t>
  </si>
  <si>
    <t>2004 - SESI/SC - Odontologia Videira (Videplast)</t>
  </si>
  <si>
    <t>2006 - SESI/SC - Odontologia Caçador (Sincol)</t>
  </si>
  <si>
    <t>2007 - SESI/SC - Academia Caçador (Adami)</t>
  </si>
  <si>
    <t>SENAI/SC - Itapiranga</t>
  </si>
  <si>
    <t>SENAI/SC - Taió</t>
  </si>
  <si>
    <t>SENAI/SC - Guaramirim</t>
  </si>
  <si>
    <t>SENAI/SC - Fraiburgo</t>
  </si>
  <si>
    <t>SENAI/SC - Otacilio Costa</t>
  </si>
  <si>
    <t>SENAI/SC - Porto União</t>
  </si>
  <si>
    <t>Institutos SENAI de Inovação e Tecnologia</t>
  </si>
  <si>
    <t>SENAI/SC - São Bento do Sul II</t>
  </si>
  <si>
    <t>SENAI/SC - Seara</t>
  </si>
  <si>
    <t>SENAI/SC - Campos Novos</t>
  </si>
  <si>
    <t>SENAI/SC - Joaçaba</t>
  </si>
  <si>
    <t>IEL/SC - Centro Norte</t>
  </si>
  <si>
    <t>IEL/SC - Norte Nordeste</t>
  </si>
  <si>
    <t>4016 - alimentaSesi Indumak Jaraguá do Sul - SC</t>
  </si>
  <si>
    <t>2010 - SESI/SC - Pomerode</t>
  </si>
  <si>
    <t>Instituto SENAI de Inovação em Sistemas Embarcados</t>
  </si>
  <si>
    <t>8008 - alimentaSesi Luziania - GO</t>
  </si>
  <si>
    <t>4017 - alimentaSesi Bosch Pomerode - SC</t>
  </si>
  <si>
    <t>Instituto SENAI de Inovação em Manufatura e Laser</t>
  </si>
  <si>
    <t>SENAI/SC - São Francisco do Sul</t>
  </si>
  <si>
    <t>SENAI/SC - Maravilha</t>
  </si>
  <si>
    <t>8010 - alimentaSesi BRF Curitiba - PR</t>
  </si>
  <si>
    <t>8011 - alimentaSesi Cafeteria BRF Curitiba - PR</t>
  </si>
  <si>
    <t>SENAI/SC - Braço do Norte</t>
  </si>
  <si>
    <t>8012 - alimentaSesi Santos - SP</t>
  </si>
  <si>
    <t>SENAI/SC - Rio Negrinho</t>
  </si>
  <si>
    <t>4020 - alimentaSesi Agrifirm Taió - SC</t>
  </si>
  <si>
    <t>4022 - alimentaSesi GTB Ipuaçú - SC</t>
  </si>
  <si>
    <t>Instituto SENAI de Tecnologia Têxtil, Vestuário e Design</t>
  </si>
  <si>
    <t>2013 - SESI/SC - Nova Veneza</t>
  </si>
  <si>
    <t>Instituto SENAI de Tecnologia Ambiental</t>
  </si>
  <si>
    <t>2014 - Centro de Inovação SESI em Tecnologia para Saúde</t>
  </si>
  <si>
    <t>4025 - alimentaSesi Localfrio Itajaí - SC</t>
  </si>
  <si>
    <t>4024 - alimentaSesi BRF Itajaí - SC</t>
  </si>
  <si>
    <t>4026 - alimentaSesi Ease Criciúma - SC</t>
  </si>
  <si>
    <t>2016 - SESI/SC - Guaramirim</t>
  </si>
  <si>
    <t>4027 - alimentaSesi Olsen Palhoça - SC</t>
  </si>
  <si>
    <t>4028 - alimentaSesi BRF Campos Novos - SC</t>
  </si>
  <si>
    <t>8015 - alimentaSesi BRF Rio Verde - GO</t>
  </si>
  <si>
    <t>8014 - alimentaSesi Duque de Caxias - RJ</t>
  </si>
  <si>
    <t>2017 - SESI/SC - Seara III</t>
  </si>
  <si>
    <t>FIESC - VP Sudeste</t>
  </si>
  <si>
    <t>SENAI/SC - Correia Pinto</t>
  </si>
  <si>
    <t>4031 - alimentaSesi Centro Esportivo Blumenau - SC</t>
  </si>
  <si>
    <t>4032 - alimentaSesi Cafeteria Centro Esportivo Blumenau - SC</t>
  </si>
  <si>
    <t>SENAI/SC - Pinhalzinho</t>
  </si>
  <si>
    <t>4034 - alimentaSesi Irmãos Hort Brusque - SC</t>
  </si>
  <si>
    <t>2018 - SESI/SC - Clínica Capivari de Baixo</t>
  </si>
  <si>
    <t>2021 - SESI/SC - Clínica Blumenau</t>
  </si>
  <si>
    <t>2020 - SESI/SC - Palhoça</t>
  </si>
  <si>
    <t>2022 - SESI/SC - Maravilha</t>
  </si>
  <si>
    <t>919 - farmaSesi Dr. João Colin 24h</t>
  </si>
  <si>
    <t>4037 - alimentaSesi Metalúrgica Fey Indaial - SC</t>
  </si>
  <si>
    <t>2025 - SESI/SC - Joinville Sul II</t>
  </si>
  <si>
    <t>2024 - SESI/SC - Ibirama</t>
  </si>
  <si>
    <t>2019 - SESI/SC - Indaial</t>
  </si>
  <si>
    <t>922 - farmaSesi Marisol Jaraguá do Sul</t>
  </si>
  <si>
    <t>923 - farmaSesi Brusque Centro II</t>
  </si>
  <si>
    <t>Instituto SENAI de Tecnologia em Excelência Operacional</t>
  </si>
  <si>
    <t>SENAI/SC - Brusque II</t>
  </si>
  <si>
    <t>2028 - SESI/SC - Brusque IV</t>
  </si>
  <si>
    <t>2031 - SESI/SC - Tubarão II</t>
  </si>
  <si>
    <t>2038 - SESI/SC - São José II</t>
  </si>
  <si>
    <t>2032 - SESI/SC - Florianópolis</t>
  </si>
  <si>
    <t>2027 - SESI/SC - Blumenau II</t>
  </si>
  <si>
    <t>2030 - SESI/SC - Concórdia II</t>
  </si>
  <si>
    <t>Instituto SENAI de Tecnologia em Cerâmica</t>
  </si>
  <si>
    <t>2034 - SESI/SC - Tijucas</t>
  </si>
  <si>
    <t>2039 - SESI/SC - São Miguel do Oeste II</t>
  </si>
  <si>
    <t>2037 - SESI/SC - Lages II</t>
  </si>
  <si>
    <t>2036 - SESI/SC - Joinville Sul III</t>
  </si>
  <si>
    <t>2035 - SESI/SC - Joinville Moinho</t>
  </si>
  <si>
    <t>2033 - SESI/SC - Itajaí II</t>
  </si>
  <si>
    <t>2029 - SESI/SC - Chapecó III</t>
  </si>
  <si>
    <t>IST Alimentos e Bebidas e ISI Sistemas Embarcados</t>
  </si>
  <si>
    <t>4039 - alimentaSesi BRF Herval do Oeste - SC</t>
  </si>
  <si>
    <t>4040 - alimentaSesi ZM II Brusque - SC</t>
  </si>
  <si>
    <t>8017 - alimentaSesi Ponta Grossa - PR</t>
  </si>
  <si>
    <t>4042 - alimentaSesi HITACHI Blumenau - SC</t>
  </si>
  <si>
    <t>4043 - alimentaSesi BRF Capinzal - SC</t>
  </si>
  <si>
    <t>924 - farmaSesi Rio Negrinho 2</t>
  </si>
  <si>
    <t>4047 - alimentaSesi Cantina SENAI Joinville Norte - SC</t>
  </si>
  <si>
    <t>4048 - alimentaSesi Cantina Jaraguá do Sul - SC</t>
  </si>
  <si>
    <t>2043 - SESI/SC - Academia Florianópolis (FIESC)</t>
  </si>
  <si>
    <t>8018 - alimentaSesi BRF Lucas do Rio Verde - MT</t>
  </si>
  <si>
    <t>2026 - SESI/SC - Odontologia Jaraguá do Sul (Duas Rodas)</t>
  </si>
  <si>
    <t>2044 - SESI/SC - Capinzal</t>
  </si>
  <si>
    <t>8020 - alimentaSesi Nova Mutum - MT</t>
  </si>
  <si>
    <t>4050 - alimentaSesi DVA Automóveis São José - SC</t>
  </si>
  <si>
    <t>2045 - SESI/SC - Odontologia Guaramirim (Paumar)</t>
  </si>
  <si>
    <t>4049 - alimentaSesi Cantina Chapecó - SC</t>
  </si>
  <si>
    <t>SENAI/SC - Jaraguá do Sul II</t>
  </si>
  <si>
    <t>4051 - alimentaSesi Cantina SENAI Joinville Sul - SC</t>
  </si>
  <si>
    <t>4054 - alimentaSesi Cantina Concórdia - SC</t>
  </si>
  <si>
    <t>4053 - alimentaSesi Haco Massaranduba - SC</t>
  </si>
  <si>
    <t>4055 - alimentaSesi Mouldings Ipumirim - SC</t>
  </si>
  <si>
    <t>2047 - SESI/SC - Joaçaba II</t>
  </si>
  <si>
    <t>2046 - SESI/SC - Odonto Jaraguá do Sul (Menegotti)</t>
  </si>
  <si>
    <t>REDE UNISENAI</t>
  </si>
  <si>
    <t>Centro Universitário SENAI Santa Catarina</t>
  </si>
  <si>
    <t>2042 - SESI/SC - Braço do Norte II</t>
  </si>
  <si>
    <t>Centro Universitário SENAI/SC - Campus Florianópolis</t>
  </si>
  <si>
    <t>Centro Universitário SENAI/SC - Campus Joinville</t>
  </si>
  <si>
    <t>Centro Universitário SENAI/SC - Campus Chapecó</t>
  </si>
  <si>
    <t>IST em Mobilidade Elétrica e Energias Renováveis</t>
  </si>
  <si>
    <t>Centro Universitário SENAI/SC - Campus Jaraguá do Sul</t>
  </si>
  <si>
    <t>Negócios Digitais</t>
  </si>
  <si>
    <t>SENAI/SC - Escola Digital</t>
  </si>
  <si>
    <t>SENAI/SC - Soluções Digitais</t>
  </si>
  <si>
    <t>4052 - alimentaSesi Cantina Brusque - SC</t>
  </si>
  <si>
    <t>4056 - alimentaSesi Cantina Criciúma - SC</t>
  </si>
  <si>
    <t>2048 - SESI/SC - Academia SEBRAE</t>
  </si>
  <si>
    <t>4057 - alimentaSesi Tuper Div Tubos São Bento do Sul - SC</t>
  </si>
  <si>
    <t>8022 - alimentaSesi BRF Mineiros - GO</t>
  </si>
  <si>
    <t>8021 - alimentaSesi BRF Jataí - GO</t>
  </si>
  <si>
    <t>4058 - alimentaSesi Cantina Blumenau - SC</t>
  </si>
  <si>
    <t>8019 - alimentaSesi BRF Duque de Caxias - RJ</t>
  </si>
  <si>
    <t>2052 - SESI/SC - Odonto Braço do Norte (Molduarte)</t>
  </si>
  <si>
    <t>2049 - SESI/SC - Odonto São Bento do Sul (Oxford)</t>
  </si>
  <si>
    <t>2050 - SESI/SC - Odonto São Bento do Sul (Tuper)</t>
  </si>
  <si>
    <t>8023 - alimentaSesi BRF Seropédica - RJ</t>
  </si>
  <si>
    <t>2051 - SESI/SC - Criciúma III</t>
  </si>
  <si>
    <t>2053* - SESI/SC - Odontologia Joinville (Schulz)</t>
  </si>
  <si>
    <t>4060 - alimentaSesi Cantina Florianópolis - SC</t>
  </si>
  <si>
    <t>4059 - alimentaSesi Cantina Itajaí - SC</t>
  </si>
  <si>
    <t>CENTRO LOGISTICO</t>
  </si>
  <si>
    <t>2061 - SESI/SC - Centro Logístico</t>
  </si>
  <si>
    <t>SENAI/SC - Itajaí II</t>
  </si>
  <si>
    <t>4061 - alimentaSesi Escola S Brusque - SC</t>
  </si>
  <si>
    <t>2054 - SESI/SC - Escola Digital</t>
  </si>
  <si>
    <t>925 - farmaSesi Capinzal</t>
  </si>
  <si>
    <t>926 - farmaSesi Braço do Norte</t>
  </si>
  <si>
    <t>SENAI/SC - Centro Logístico</t>
  </si>
  <si>
    <t>927 - farmaSesi - Navegantes</t>
  </si>
  <si>
    <t>2060 - SESI/SC - GEFAN Capoeiras</t>
  </si>
  <si>
    <t>2056 - SESI/SC - Academia Joinville III</t>
  </si>
  <si>
    <t>SENAI/SC - São José - Extensão Biguaçu</t>
  </si>
  <si>
    <t>2055 - SESI/SC - Itajaí III</t>
  </si>
  <si>
    <t>SENAI/SC - Criciúma - Extensão Forquilhinha</t>
  </si>
  <si>
    <t>SENAI/SC - LAB 365 Florianópolis</t>
  </si>
  <si>
    <t>SENAI/SC - São José - Extensão Garopaba</t>
  </si>
  <si>
    <t>SENAI/SC - Rio do Sul - Extensão Ibirama</t>
  </si>
  <si>
    <t>4063 - alimentaSesi Cantina Rio do Sul - SC</t>
  </si>
  <si>
    <t>8025 - alimentaSesi Mineiros III - GO</t>
  </si>
  <si>
    <t>4067 - alimentaSesi Escola S Lages - SC</t>
  </si>
  <si>
    <t>SENAI/SC - São Miguel do Oeste - Extensão Princesa</t>
  </si>
  <si>
    <t>SENAI/SC - Joinville - Extensão Itapoá</t>
  </si>
  <si>
    <t>8024 - alimentaSesi Mineiros II - GO</t>
  </si>
  <si>
    <t>4072 - alimentaSesi Ribeirão Clara Pomerode - SC</t>
  </si>
  <si>
    <t>4068 - alimentaSesi Cantina São Miguel do Oeste - SC</t>
  </si>
  <si>
    <t>SENAI/SC - Indaial - Extensão Apiúna</t>
  </si>
  <si>
    <t>SENAI/SC - Itajaí - Extensão Luiz Alves</t>
  </si>
  <si>
    <t>4066 - alimentaSesi Cantina Videira - SC</t>
  </si>
  <si>
    <t>4070 - alimentaSesi Cantina São José - SC</t>
  </si>
  <si>
    <t>4071 - alimentaSesi Escola S São Bento do Sul - SC</t>
  </si>
  <si>
    <t>SENAI/SC - Taió - Extensão Pouso Redondo</t>
  </si>
  <si>
    <t>4073 - alimentaSesi Fortaleza Alta Blumenau - SC</t>
  </si>
  <si>
    <t>SENAI/SC - Xanxerê - Extensão Xaxim</t>
  </si>
  <si>
    <t>SENAI/SC - Chapecó - Extensão Planalto Alegre</t>
  </si>
  <si>
    <t>SENAI/SC - Chapecó - Extensão Guatambú</t>
  </si>
  <si>
    <t>4074 - alimentaSesi Bom Retiro Blumenau - SC</t>
  </si>
  <si>
    <t>4075 - alimentaSesi Velha Central Blumenau - SC</t>
  </si>
  <si>
    <t>SENAI/SC - Itapiranga - Extensão Mondaí</t>
  </si>
  <si>
    <t>4065 - alimentaSesi Escola S Criciúma - SC</t>
  </si>
  <si>
    <t>SENAI/SC - Maravilha - Extensão Palmitos</t>
  </si>
  <si>
    <t>SENAI/SC - Chapecó - Extensão Coronel Freitas</t>
  </si>
  <si>
    <t>4076 - alimentaSesi Santa Terezinha Gaspar - SC</t>
  </si>
  <si>
    <t>4064 - alimentaSesi Cantina Tijucas - SC</t>
  </si>
  <si>
    <t>SENAI/SC - Criciúma - Extensão Orleans</t>
  </si>
  <si>
    <t>SENAI/SC - Xanxerê - Extensão Abelardo Luz</t>
  </si>
  <si>
    <t>8027 - alimentaSesi Santa Luzia - MG</t>
  </si>
  <si>
    <t>SENAI/SC - Curitibanos - Extensão Santa Cecília</t>
  </si>
  <si>
    <t>SENAI/SC - Timbó - Extensão Doutor Pedrinho</t>
  </si>
  <si>
    <t>8026 - alimentaSesi Nova Mutum II - MT</t>
  </si>
  <si>
    <t>8028 - alimentaSesi Rio Grande - RS</t>
  </si>
  <si>
    <t>SENAI/SC - Concórdia - Extensão Ipumirim</t>
  </si>
  <si>
    <t>SENAI/SC - Chapecó - Extensão São Carlos I</t>
  </si>
  <si>
    <t>8029 - alimentaSesi Ponta Grossa - PR</t>
  </si>
  <si>
    <t>4077 - alimentaSesi Cantina Moinho Joinville - SC</t>
  </si>
  <si>
    <t>SENAI/SC - Luzerna - Extensão Vargem Bonita</t>
  </si>
  <si>
    <t>SENAI/SC - São Lourenço do Oeste - Extensão Saltinho</t>
  </si>
  <si>
    <t>SENAI/SC - São Lourenço do Oeste - Extensão Campo Erê</t>
  </si>
  <si>
    <t>SENAI/SC - Guaramirim - Extensão Schroeder</t>
  </si>
  <si>
    <t>SENAI/SC - Jaraguá do Sul - CentroWEG</t>
  </si>
  <si>
    <t>SENAI/SC - Pinhalzinho - Extensão Saudades I</t>
  </si>
  <si>
    <t>SENAI/SC - Mafra - Extensão Itaiópolis</t>
  </si>
  <si>
    <t>SENAI/SC - Taió - Extensão Salete</t>
  </si>
  <si>
    <t>928 - farmaSesi Pinhalzinho</t>
  </si>
  <si>
    <t>8030 - alimentaSesi Campinas - SP</t>
  </si>
  <si>
    <t>SENAI/SC - Xanxerê - Extensão São Domingos</t>
  </si>
  <si>
    <t>SENAI/SC - Criciúma - Extensão Nova Veneza</t>
  </si>
  <si>
    <t>2058 - SESI/SC - Capinzal II</t>
  </si>
  <si>
    <t>8032 - alimentaSesi Carambeí - PR</t>
  </si>
  <si>
    <t>2057 - SESI/SC - Itapiranga</t>
  </si>
  <si>
    <t>SENAI/SC - Guaramirim - Extensão Massaranduba</t>
  </si>
  <si>
    <t>929 - farmaSesi Agronômica</t>
  </si>
  <si>
    <t>2059 - SESI/SC - São João Batista</t>
  </si>
  <si>
    <t>4078 - alimentaSesi Escola S Rio do Sul II - SC</t>
  </si>
  <si>
    <t>4079 - alimentaSesi Universitário Criciúma - SC</t>
  </si>
  <si>
    <t>4080 - alimentaSesi Primeiro de Maio Içara - SC</t>
  </si>
  <si>
    <t>SENAI/SC - Rio do Sul - Extensão Presidente Getúlio</t>
  </si>
  <si>
    <t>SENAI/SC - Rio do Sul - Extensão Ituporanga II</t>
  </si>
  <si>
    <t>4081 - alimentaSesi Cantina SENAI Pomerode - SC</t>
  </si>
  <si>
    <t>SENAI/SC - Chapecó - Extensão São Carlos II</t>
  </si>
  <si>
    <t>2062 - SESI/SC - Fraiburgo</t>
  </si>
  <si>
    <t>4082 - alimentaSesi Forquilhas São José - SC</t>
  </si>
  <si>
    <t>8033 - alimentaSesi Várzea Grande - MT</t>
  </si>
  <si>
    <t>SENAI/SC - Criciúma - Extensão Nova Veneza II</t>
  </si>
  <si>
    <t>SENAI/SC - Criciúma - Extensão Nova Veneza III</t>
  </si>
  <si>
    <t>2063 - SESI/SC - Videira II</t>
  </si>
  <si>
    <t>8031 - alimentaSesi Dourados II - MS</t>
  </si>
  <si>
    <t>SENAI/SC - Criciúma - Extensão Urussanga</t>
  </si>
  <si>
    <t>SENAI/SC - São Miguel do Oeste - Extensão Palma Sola</t>
  </si>
  <si>
    <t>SENAI - IST TECN DE ALIMENTOS DE CHAPECO</t>
  </si>
  <si>
    <t>DESCONTO</t>
  </si>
  <si>
    <t>FIESC - DIJUR</t>
  </si>
  <si>
    <t>FM 516 - Videira - 20%</t>
  </si>
  <si>
    <t>FM 516 - Videira - 10%</t>
  </si>
  <si>
    <t>FM 516 - Videira - 40%</t>
  </si>
  <si>
    <t>FM 516 - Videira - 30%</t>
  </si>
  <si>
    <t>FM 927 - NAVEGANTES</t>
  </si>
  <si>
    <t>GEFAN - Alto Vale e Serra</t>
  </si>
  <si>
    <t>GEFAN - Oeste</t>
  </si>
  <si>
    <t>GEFAN - Norte - Nordeste / Plan. e Vale</t>
  </si>
  <si>
    <t>GEFAN - Sul e Sudeste</t>
  </si>
  <si>
    <t>GEFAN - Vale e Foz do Rio Itajaí</t>
  </si>
  <si>
    <t xml:space="preserve">GEFAN - Institucional  </t>
  </si>
  <si>
    <t>SEDE</t>
  </si>
  <si>
    <t>GEFAN - Centro Norte e Centro Oeste</t>
  </si>
  <si>
    <t>100.3</t>
  </si>
  <si>
    <t>100.1</t>
  </si>
  <si>
    <t>100.2</t>
  </si>
  <si>
    <t>100.4</t>
  </si>
  <si>
    <t>0.5</t>
  </si>
  <si>
    <t>1.1.4</t>
  </si>
  <si>
    <t>SESI / SENAI / IEL - COMAR (SESI)</t>
  </si>
  <si>
    <t>SESI / SENAI / IEL - COMAR (SENAI)</t>
  </si>
  <si>
    <t>SESI / SENAI / IEL - COMAR (IEL)</t>
  </si>
  <si>
    <t>100.5</t>
  </si>
  <si>
    <t>100.6</t>
  </si>
  <si>
    <t>0.1</t>
  </si>
  <si>
    <t>0.2</t>
  </si>
  <si>
    <t>0.3</t>
  </si>
  <si>
    <t>0.4</t>
  </si>
  <si>
    <t>1.1.2</t>
  </si>
  <si>
    <t>1.1.3</t>
  </si>
  <si>
    <t>1.1.5</t>
  </si>
  <si>
    <t>1.1.1</t>
  </si>
  <si>
    <t>2.1</t>
  </si>
  <si>
    <t>2.3</t>
  </si>
  <si>
    <t>2.4</t>
  </si>
  <si>
    <t>2.5</t>
  </si>
  <si>
    <t>2.6</t>
  </si>
  <si>
    <t>2.7</t>
  </si>
  <si>
    <t>2.8</t>
  </si>
  <si>
    <t xml:space="preserve">SEDE </t>
  </si>
  <si>
    <t xml:space="preserve">SESI / SENAI / IEL - COMAR (SESI) </t>
  </si>
  <si>
    <t xml:space="preserve">SESI GECON ARE </t>
  </si>
  <si>
    <t>100.7</t>
  </si>
  <si>
    <t xml:space="preserve">SESI / SENAI / IEL - COMAR (IEL) </t>
  </si>
  <si>
    <t>FIESC GEINT</t>
  </si>
  <si>
    <t>FIESC GECON</t>
  </si>
  <si>
    <t>FIESC GECOR</t>
  </si>
  <si>
    <t>2.2</t>
  </si>
  <si>
    <t>1.2</t>
  </si>
  <si>
    <t>1.1.</t>
  </si>
  <si>
    <t>FM 542 - BRAÇO DO NORTE</t>
  </si>
  <si>
    <t>Cartão de Postagem</t>
  </si>
  <si>
    <t>Valor Líquido(R$)</t>
  </si>
  <si>
    <t xml:space="preserve">LANCAMENTOS DE CREDITOS </t>
  </si>
  <si>
    <t>Descricao do credito</t>
  </si>
  <si>
    <t>Valor do credito</t>
  </si>
  <si>
    <t xml:space="preserve">LANCAMENTOS DE DEBITOS </t>
  </si>
  <si>
    <t>Valor do debito</t>
  </si>
  <si>
    <t>Coluna1</t>
  </si>
  <si>
    <t>Coluna2</t>
  </si>
  <si>
    <t>DEBORA ALINE NEITZKE</t>
  </si>
  <si>
    <t>CARINA GUBITOSO</t>
  </si>
  <si>
    <t>TARLLONE SIRQUEIRA FELISARDO</t>
  </si>
  <si>
    <t>LUCAS FERREIRA ALVES</t>
  </si>
  <si>
    <t>MARIA ELIZABEL DUARDO COSTA</t>
  </si>
  <si>
    <t>NATALLY MARIANE SCHNECKEMBERG</t>
  </si>
  <si>
    <t xml:space="preserve">TOTAL </t>
  </si>
  <si>
    <t xml:space="preserve">Descricao </t>
  </si>
  <si>
    <t>ATENISIA OLIVEIRA DA SILVA MELO</t>
  </si>
  <si>
    <t>DA546702437BR</t>
  </si>
  <si>
    <t>CRISTIANE APARECIDA DOS SANTOS</t>
  </si>
  <si>
    <t>DA546763515BR</t>
  </si>
  <si>
    <t>DA546897910BR</t>
  </si>
  <si>
    <t>DA546902265BR</t>
  </si>
  <si>
    <t>JESIANE DE SOUZA</t>
  </si>
  <si>
    <t>DA546925519BR</t>
  </si>
  <si>
    <t>DA546925598BR</t>
  </si>
  <si>
    <t>MARCOS FELIPE SIQUEIRA</t>
  </si>
  <si>
    <t>DA547174793BR</t>
  </si>
  <si>
    <t>DA547180944BR</t>
  </si>
  <si>
    <t>DA547684859BR</t>
  </si>
  <si>
    <t>CARLOS EDUARDO COLOMBO</t>
  </si>
  <si>
    <t>AD090413983BR</t>
  </si>
  <si>
    <t>DA547995119BR</t>
  </si>
  <si>
    <t>AD091584627BR</t>
  </si>
  <si>
    <t>DA548190568BR</t>
  </si>
  <si>
    <t>AD095401871BR</t>
  </si>
  <si>
    <t>DA548366605BR</t>
  </si>
  <si>
    <t>AD097398999BR</t>
  </si>
  <si>
    <t>ELISSANA VIEIRA DUARTE ROCHA</t>
  </si>
  <si>
    <t>DA548398355BR</t>
  </si>
  <si>
    <t>DA548398364BR</t>
  </si>
  <si>
    <t>JESSICA LUANA DE SOUZA</t>
  </si>
  <si>
    <t>DA548833965BR</t>
  </si>
  <si>
    <t>AD107879405BR</t>
  </si>
  <si>
    <t>DA549061370BR</t>
  </si>
  <si>
    <t>ANA PAULA MACOPPI TONDIN</t>
  </si>
  <si>
    <t>DA558949605BR</t>
  </si>
  <si>
    <t>AD121697222BR</t>
  </si>
  <si>
    <t>JANAINE SCHEMES ARCENO NEVES</t>
  </si>
  <si>
    <t>DA559352377BR</t>
  </si>
  <si>
    <t>SHIRLEY LIMA RABELO</t>
  </si>
  <si>
    <t>AD125022747BR</t>
  </si>
  <si>
    <t>DA559868205BR</t>
  </si>
  <si>
    <t>DA560420131BR</t>
  </si>
  <si>
    <t>DA560421242BR</t>
  </si>
  <si>
    <t>DA560421755BR</t>
  </si>
  <si>
    <t>DA560422336BR</t>
  </si>
  <si>
    <t>DA560437619BR</t>
  </si>
  <si>
    <t>DA560438035BR</t>
  </si>
  <si>
    <t>DA560472385BR</t>
  </si>
  <si>
    <t>DA560475682BR</t>
  </si>
  <si>
    <t>DA560479401BR</t>
  </si>
  <si>
    <t>DA560485795BR</t>
  </si>
  <si>
    <t>DA560486115BR</t>
  </si>
  <si>
    <t>DA560486521BR</t>
  </si>
  <si>
    <t>DA560825233BR</t>
  </si>
  <si>
    <t>DA560844056BR</t>
  </si>
  <si>
    <t>ALANA KUNZ KOZIKOWSK</t>
  </si>
  <si>
    <t>DA560923828BR</t>
  </si>
  <si>
    <t>0067982999 Rest Div Peso-AD121146397BR</t>
  </si>
  <si>
    <t>0067985807 Rest Div Peso-DA546122667BR</t>
  </si>
  <si>
    <t xml:space="preserve">SESI SA8035 FRANCISCO BELTRÃO </t>
  </si>
  <si>
    <t>8035 - alimentaSesi Francisco Beltrão - PR</t>
  </si>
  <si>
    <t xml:space="preserve">SESI SA440 - ALIMENTAÇÃO SESI UNIPLAST JOINVILLE </t>
  </si>
  <si>
    <t>Coluna3</t>
  </si>
  <si>
    <t>Coluna4</t>
  </si>
  <si>
    <t>Coluna5</t>
  </si>
  <si>
    <t>Coluna6</t>
  </si>
  <si>
    <t>Coluna7</t>
  </si>
  <si>
    <t>Coluna8</t>
  </si>
  <si>
    <t>AB939906682BR</t>
  </si>
  <si>
    <t>AB940929442BR</t>
  </si>
  <si>
    <t>ANDRESSA ALINE GARBOSSA</t>
  </si>
  <si>
    <t>DA545975536BR</t>
  </si>
  <si>
    <t>DA545975902BR</t>
  </si>
  <si>
    <t>DA545979674BR</t>
  </si>
  <si>
    <t>DA546016270BR</t>
  </si>
  <si>
    <t>DA546019761BR</t>
  </si>
  <si>
    <t>DA546122667BR</t>
  </si>
  <si>
    <t>DEBORA AUGUSTIN</t>
  </si>
  <si>
    <t>DA546379172BR</t>
  </si>
  <si>
    <t>DA546925669BR</t>
  </si>
  <si>
    <t>DA546985296BR</t>
  </si>
  <si>
    <t>DA547942408BR</t>
  </si>
  <si>
    <t>JHENIFFER BERNARDI</t>
  </si>
  <si>
    <t>DA548155169BR</t>
  </si>
  <si>
    <t>DA548366619BR</t>
  </si>
  <si>
    <t>DA559815208BR</t>
  </si>
  <si>
    <t>DA559815327BR</t>
  </si>
  <si>
    <t>POSTAGEM EM AGÊNCIA</t>
  </si>
  <si>
    <t>RAISSA SANTOS RODRIGUES</t>
  </si>
  <si>
    <t>DA560971182BR</t>
  </si>
  <si>
    <t>DA560977548BR</t>
  </si>
  <si>
    <t xml:space="preserve"> TOTAL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</si>
</sst>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  <numFmt numFmtId="165" formatCode="_-[$R$-416]\ * #,##0.00_-;\-[$R$-416]\ * #,##0.00_-;_-[$R$-416]\ * &quot;-&quot;??_-;_-@_-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222222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1"/>
      <color theme="1"/>
      <name val="Roboto"/>
    </font>
    <font>
      <b/>
      <sz val="11"/>
      <color theme="0"/>
      <name val="Aptos Narrow"/>
      <family val="2"/>
    </font>
    <font>
      <b/>
      <sz val="10"/>
      <color theme="0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 val="singleAccounting"/>
      <sz val="12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  <fill>
      <patternFill patternType="solid">
        <fgColor rgb="FFC4D79B"/>
        <bgColor rgb="FFC4D79B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rgb="FFC2D69B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2" fillId="0" borderId="0" applyFont="0" applyFill="0" applyBorder="0" applyAlignment="0" applyProtection="0"/>
  </cellStyleXfs>
  <cellXfs count="119">
    <xf numFmtId="0" fontId="0" fillId="0" borderId="0" xfId="0"/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164" fontId="5" fillId="0" borderId="0" xfId="0" applyNumberFormat="1" applyFont="1"/>
    <xf numFmtId="0" fontId="5" fillId="0" borderId="1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164" fontId="4" fillId="2" borderId="2" xfId="0" applyNumberFormat="1" applyFont="1" applyFill="1" applyBorder="1" applyAlignment="1">
      <alignment vertical="center"/>
    </xf>
    <xf numFmtId="44" fontId="5" fillId="0" borderId="2" xfId="0" applyNumberFormat="1" applyFont="1" applyBorder="1" applyAlignment="1">
      <alignment horizontal="center" vertical="center"/>
    </xf>
    <xf numFmtId="164" fontId="5" fillId="8" borderId="2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10" fillId="0" borderId="0" xfId="0" applyNumberFormat="1" applyFont="1" applyAlignment="1">
      <alignment horizontal="center" vertical="center"/>
    </xf>
    <xf numFmtId="0" fontId="0" fillId="0" borderId="1" xfId="0" applyBorder="1"/>
    <xf numFmtId="164" fontId="8" fillId="0" borderId="1" xfId="0" applyNumberFormat="1" applyFont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/>
    </xf>
    <xf numFmtId="44" fontId="0" fillId="0" borderId="0" xfId="1" applyFont="1"/>
    <xf numFmtId="44" fontId="0" fillId="0" borderId="0" xfId="0" applyNumberFormat="1"/>
    <xf numFmtId="164" fontId="4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/>
    </xf>
    <xf numFmtId="164" fontId="5" fillId="7" borderId="2" xfId="0" applyNumberFormat="1" applyFont="1" applyFill="1" applyBorder="1" applyAlignment="1">
      <alignment horizontal="right" vertical="center"/>
    </xf>
    <xf numFmtId="164" fontId="5" fillId="7" borderId="2" xfId="0" quotePrefix="1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165" fontId="5" fillId="8" borderId="2" xfId="0" applyNumberFormat="1" applyFont="1" applyFill="1" applyBorder="1" applyAlignment="1">
      <alignment horizontal="right" vertical="center"/>
    </xf>
    <xf numFmtId="164" fontId="5" fillId="9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164" fontId="5" fillId="6" borderId="2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2" fontId="5" fillId="4" borderId="2" xfId="0" applyNumberFormat="1" applyFont="1" applyFill="1" applyBorder="1" applyAlignment="1">
      <alignment horizontal="center" vertical="center"/>
    </xf>
    <xf numFmtId="40" fontId="5" fillId="4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40" fontId="5" fillId="0" borderId="2" xfId="0" applyNumberFormat="1" applyFont="1" applyBorder="1" applyAlignment="1">
      <alignment horizontal="center" vertical="center"/>
    </xf>
    <xf numFmtId="44" fontId="5" fillId="3" borderId="2" xfId="1" applyFont="1" applyFill="1" applyBorder="1" applyAlignment="1">
      <alignment horizontal="center" vertical="center"/>
    </xf>
    <xf numFmtId="44" fontId="11" fillId="8" borderId="2" xfId="1" applyFont="1" applyFill="1" applyBorder="1"/>
    <xf numFmtId="3" fontId="5" fillId="3" borderId="2" xfId="0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 wrapText="1"/>
    </xf>
    <xf numFmtId="164" fontId="5" fillId="7" borderId="5" xfId="0" applyNumberFormat="1" applyFont="1" applyFill="1" applyBorder="1" applyAlignment="1">
      <alignment horizontal="center" vertical="center"/>
    </xf>
    <xf numFmtId="44" fontId="0" fillId="0" borderId="1" xfId="1" applyFont="1" applyBorder="1"/>
    <xf numFmtId="44" fontId="0" fillId="0" borderId="2" xfId="1" applyFont="1" applyBorder="1"/>
    <xf numFmtId="1" fontId="5" fillId="3" borderId="2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6" borderId="2" xfId="0" applyNumberFormat="1" applyFont="1" applyFill="1" applyBorder="1" applyAlignment="1">
      <alignment horizontal="center"/>
    </xf>
    <xf numFmtId="164" fontId="6" fillId="3" borderId="4" xfId="0" applyNumberFormat="1" applyFont="1" applyFill="1" applyBorder="1" applyAlignment="1">
      <alignment horizontal="center" vertical="center"/>
    </xf>
    <xf numFmtId="0" fontId="15" fillId="11" borderId="6" xfId="0" applyFont="1" applyFill="1" applyBorder="1"/>
    <xf numFmtId="0" fontId="16" fillId="11" borderId="6" xfId="0" applyFont="1" applyFill="1" applyBorder="1"/>
    <xf numFmtId="0" fontId="17" fillId="0" borderId="7" xfId="0" applyFont="1" applyBorder="1"/>
    <xf numFmtId="0" fontId="18" fillId="0" borderId="7" xfId="0" applyFont="1" applyBorder="1"/>
    <xf numFmtId="0" fontId="18" fillId="0" borderId="7" xfId="0" applyFont="1" applyBorder="1" applyAlignment="1">
      <alignment horizontal="right"/>
    </xf>
    <xf numFmtId="0" fontId="0" fillId="0" borderId="4" xfId="0" applyBorder="1"/>
    <xf numFmtId="0" fontId="0" fillId="0" borderId="8" xfId="0" applyBorder="1"/>
    <xf numFmtId="0" fontId="4" fillId="2" borderId="9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164" fontId="4" fillId="2" borderId="9" xfId="0" applyNumberFormat="1" applyFont="1" applyFill="1" applyBorder="1" applyAlignment="1">
      <alignment horizontal="center" vertical="center" wrapText="1"/>
    </xf>
    <xf numFmtId="164" fontId="4" fillId="12" borderId="5" xfId="0" applyNumberFormat="1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0" fillId="8" borderId="4" xfId="0" applyFill="1" applyBorder="1"/>
    <xf numFmtId="0" fontId="0" fillId="8" borderId="11" xfId="0" applyFill="1" applyBorder="1"/>
    <xf numFmtId="164" fontId="4" fillId="2" borderId="14" xfId="0" applyNumberFormat="1" applyFont="1" applyFill="1" applyBorder="1" applyAlignment="1">
      <alignment horizontal="center" vertical="center" wrapText="1"/>
    </xf>
    <xf numFmtId="0" fontId="0" fillId="0" borderId="2" xfId="0" applyBorder="1"/>
    <xf numFmtId="164" fontId="19" fillId="0" borderId="0" xfId="0" applyNumberFormat="1" applyFont="1" applyAlignment="1">
      <alignment horizontal="center" vertical="center"/>
    </xf>
    <xf numFmtId="44" fontId="0" fillId="0" borderId="4" xfId="1" applyFont="1" applyBorder="1"/>
    <xf numFmtId="164" fontId="5" fillId="2" borderId="9" xfId="0" applyNumberFormat="1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/>
    </xf>
    <xf numFmtId="164" fontId="5" fillId="8" borderId="4" xfId="0" applyNumberFormat="1" applyFont="1" applyFill="1" applyBorder="1"/>
    <xf numFmtId="0" fontId="5" fillId="8" borderId="10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44" fontId="0" fillId="0" borderId="0" xfId="1" applyFont="1" applyBorder="1"/>
    <xf numFmtId="0" fontId="0" fillId="8" borderId="2" xfId="0" applyFill="1" applyBorder="1"/>
    <xf numFmtId="164" fontId="19" fillId="0" borderId="1" xfId="0" applyNumberFormat="1" applyFont="1" applyBorder="1" applyAlignment="1">
      <alignment horizontal="center" vertical="center"/>
    </xf>
    <xf numFmtId="44" fontId="0" fillId="8" borderId="2" xfId="1" applyFont="1" applyFill="1" applyBorder="1"/>
    <xf numFmtId="44" fontId="11" fillId="8" borderId="4" xfId="1" applyFont="1" applyFill="1" applyBorder="1"/>
    <xf numFmtId="44" fontId="5" fillId="3" borderId="4" xfId="1" applyFont="1" applyFill="1" applyBorder="1" applyAlignment="1">
      <alignment horizontal="center" vertical="center"/>
    </xf>
    <xf numFmtId="0" fontId="22" fillId="0" borderId="2" xfId="0" applyFont="1" applyBorder="1"/>
    <xf numFmtId="0" fontId="19" fillId="0" borderId="0" xfId="0" applyFont="1"/>
    <xf numFmtId="14" fontId="0" fillId="0" borderId="2" xfId="0" applyNumberFormat="1" applyBorder="1"/>
    <xf numFmtId="14" fontId="0" fillId="14" borderId="2" xfId="0" applyNumberFormat="1" applyFill="1" applyBorder="1"/>
    <xf numFmtId="0" fontId="0" fillId="14" borderId="2" xfId="0" applyFill="1" applyBorder="1"/>
    <xf numFmtId="0" fontId="2" fillId="0" borderId="2" xfId="0" applyFont="1" applyBorder="1"/>
    <xf numFmtId="0" fontId="2" fillId="14" borderId="2" xfId="0" applyFont="1" applyFill="1" applyBorder="1"/>
    <xf numFmtId="44" fontId="0" fillId="13" borderId="2" xfId="1" applyFont="1" applyFill="1" applyBorder="1"/>
    <xf numFmtId="0" fontId="1" fillId="0" borderId="0" xfId="0" applyFont="1"/>
    <xf numFmtId="44" fontId="23" fillId="0" borderId="0" xfId="1" applyFont="1"/>
    <xf numFmtId="44" fontId="22" fillId="0" borderId="0" xfId="0" applyNumberFormat="1" applyFont="1"/>
    <xf numFmtId="44" fontId="19" fillId="8" borderId="1" xfId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4" xfId="1" applyNumberFormat="1" applyFont="1" applyFill="1" applyBorder="1" applyAlignment="1">
      <alignment horizontal="center" vertical="center"/>
    </xf>
    <xf numFmtId="44" fontId="24" fillId="0" borderId="1" xfId="1" applyFont="1" applyFill="1" applyBorder="1"/>
    <xf numFmtId="14" fontId="0" fillId="0" borderId="0" xfId="0" applyNumberFormat="1"/>
    <xf numFmtId="0" fontId="23" fillId="0" borderId="0" xfId="0" applyFont="1"/>
    <xf numFmtId="164" fontId="0" fillId="0" borderId="0" xfId="0" applyNumberFormat="1" applyAlignment="1">
      <alignment horizontal="center" vertical="center"/>
    </xf>
    <xf numFmtId="0" fontId="19" fillId="0" borderId="2" xfId="0" applyFont="1" applyBorder="1" applyAlignment="1">
      <alignment horizontal="center"/>
    </xf>
    <xf numFmtId="164" fontId="0" fillId="0" borderId="0" xfId="0" applyNumberFormat="1"/>
    <xf numFmtId="164" fontId="25" fillId="4" borderId="2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56">
    <dxf>
      <numFmt numFmtId="164" formatCode="_-&quot;R$&quot;\ * #,##0.00_-;\-&quot;R$&quot;\ * #,##0.00_-;_-&quot;R$&quot;\ * &quot;-&quot;??_-;_-@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_-&quot;R$&quot;\ * #,##0.00_-;\-&quot;R$&quot;\ * #,##0.00_-;_-&quot;R$&quot;\ * &quot;-&quot;??_-;_-@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ajor"/>
      </font>
      <fill>
        <patternFill patternType="solid">
          <fgColor theme="0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rgb="FF92D050"/>
          <bgColor rgb="FF92D05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_-&quot;R$&quot;\ * #,##0.00_-;\-&quot;R$&quot;\ * #,##0.00_-;_-&quot;R$&quot;\ * &quot;-&quot;??_-;_-@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rgb="FF92D050"/>
          <bgColor rgb="FF92D05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_-&quot;R$&quot;\ * #,##0.00_-;\-&quot;R$&quot;\ * #,##0.00_-;_-&quot;R$&quot;\ * &quot;-&quot;??_-;_-@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rgb="FF92D050"/>
          <bgColor rgb="FF92D05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4" formatCode="_-&quot;R$&quot;\ * #,##0.00_-;\-&quot;R$&quot;\ * #,##0.00_-;_-&quot;R$&quot;\ * &quot;-&quot;??_-;_-@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rgb="FF92D050"/>
          <bgColor rgb="FF92D05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none"/>
      </font>
      <numFmt numFmtId="164" formatCode="_-&quot;R$&quot;\ * #,##0.00_-;\-&quot;R$&quot;\ * #,##0.00_-;_-&quot;R$&quot;\ * &quot;-&quot;??_-;_-@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_-&quot;R$&quot;\ * #,##0.00_-;\-&quot;R$&quot;\ * #,##0.00_-;_-&quot;R$&quot;\ * &quot;-&quot;??_-;_-@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_-&quot;R$&quot;\ * #,##0.00_-;\-&quot;R$&quot;\ * #,##0.00_-;_-&quot;R$&quot;\ * &quot;-&quot;??_-;_-@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_-&quot;R$&quot;\ * #,##0.00_-;\-&quot;R$&quot;\ * #,##0.00_-;_-&quot;R$&quot;\ * &quot;-&quot;??_-;_-@"/>
      <fill>
        <patternFill patternType="solid">
          <fgColor rgb="FF92D050"/>
          <bgColor rgb="FF92D05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40033B-52EA-4C7C-A3B2-3C1983F63CE8}" name="Tabela2" displayName="Tabela2" ref="A1:M248" totalsRowShown="0" headerRowDxfId="55" headerRowBorderDxfId="54" tableBorderDxfId="53">
  <autoFilter ref="A1:M248" xr:uid="{4140033B-52EA-4C7C-A3B2-3C1983F63CE8}"/>
  <tableColumns count="13">
    <tableColumn id="1" xr3:uid="{EBC92C95-0C82-41DB-8942-1FFE022EDB8A}" name="ORDEM" dataDxfId="52"/>
    <tableColumn id="2" xr3:uid="{701E84B3-4A31-49F8-AF13-020A58B53343}" name="UNIDADES " dataDxfId="51"/>
    <tableColumn id="3" xr3:uid="{9275E3D6-DFAA-491D-ADC0-016F2F906310}" name="FILIAL" dataDxfId="50"/>
    <tableColumn id="4" xr3:uid="{3025A983-0A14-45E2-94C7-25C0CC664AEA}" name="CR" dataDxfId="49"/>
    <tableColumn id="5" xr3:uid="{0186A650-B7B1-49AC-9E9F-078198464EBC}" name="PROJETO " dataDxfId="48"/>
    <tableColumn id="6" xr3:uid="{D0E2B9D6-1B09-4E6F-B83C-1210915A5950}" name="Nº CARTÃO" dataDxfId="47"/>
    <tableColumn id="7" xr3:uid="{9794F052-DBFA-4D38-B148-EF17C68535E3}" name="MALOTE/POSTAGEM" dataDxfId="46"/>
    <tableColumn id="8" xr3:uid="{F95188F3-AAF5-4BDB-B02B-27B1DB214B15}" name="VALOR " dataDxfId="45"/>
    <tableColumn id="9" xr3:uid="{4EB65657-E0DA-43A4-98F6-F9311D421C60}" name="VALOR VSC PERCURSO" dataDxfId="44"/>
    <tableColumn id="10" xr3:uid="{075DFF4A-EB39-46F5-B550-EBCC4DE3C3F8}" name="VALOR TOTAL " dataDxfId="43"/>
    <tableColumn id="11" xr3:uid="{00C26D60-409F-4EC2-9349-7700B6473516}" name="REGIONAIS/GEREX" dataDxfId="42"/>
    <tableColumn id="12" xr3:uid="{C1D4CAF2-2C10-4704-8DFF-9F48180CAD83}" name="DESCONTO" dataDxfId="41"/>
    <tableColumn id="13" xr3:uid="{2905D45D-E38D-4A87-9BA7-AAFC2CA1A569}" name=" TOTAL CONTRATO" dataDxfId="0">
      <calculatedColumnFormula>Tabela2[[#This Row],[VALOR VSC PERCURSO]]+Tabela2[[#This Row],[VALOR ]]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8D4CE9-984B-44D5-9DA2-3CAA41C17BB1}" name="Tabela1" displayName="Tabela1" ref="A1:E172" totalsRowShown="0" headerRowDxfId="40" dataDxfId="38" headerRowBorderDxfId="39" tableBorderDxfId="37" totalsRowBorderDxfId="36">
  <autoFilter ref="A1:E172" xr:uid="{788D4CE9-984B-44D5-9DA2-3CAA41C17BB1}"/>
  <tableColumns count="5">
    <tableColumn id="1" xr3:uid="{27C13BEA-2D50-41E0-B59B-8EB6C21ED2A7}" name="MALOTE/POSTAGEM " dataDxfId="35"/>
    <tableColumn id="2" xr3:uid="{96A5FB53-6C02-49CA-88D6-D8504BAB6BD2}" name="FILIAL " dataDxfId="34"/>
    <tableColumn id="3" xr3:uid="{387875DB-F32C-4347-8DAE-22CB00E90B66}" name="CR " dataDxfId="33"/>
    <tableColumn id="4" xr3:uid="{D0A9BB52-D09C-4367-89F1-4A90F9482C95}" name="PROJETO " dataDxfId="32"/>
    <tableColumn id="5" xr3:uid="{26E08A81-BB30-4AAF-B407-A4BF67F3E8D7}" name="TOTAL" dataDxfId="31" dataCellStyle="Moeda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F1F9BE-1E38-4DC8-A6CE-C371723E5E6D}" name="Tabela3" displayName="Tabela3" ref="A175:E211" totalsRowShown="0" headerRowDxfId="30" dataDxfId="28" headerRowBorderDxfId="29" tableBorderDxfId="27" totalsRowBorderDxfId="26">
  <autoFilter ref="A175:E211" xr:uid="{1DF1F9BE-1E38-4DC8-A6CE-C371723E5E6D}"/>
  <tableColumns count="5">
    <tableColumn id="1" xr3:uid="{7112BC4F-B8C7-4379-9037-E8E1CB88CBBD}" name="MALOTE/POSTAGEM " dataDxfId="25"/>
    <tableColumn id="2" xr3:uid="{6431979A-1ED9-41D1-B1CC-04B301D3088C}" name="FILIAL " dataDxfId="24"/>
    <tableColumn id="3" xr3:uid="{667E14CD-5F9B-4190-8E00-F5BB943CE9EA}" name="CR " dataDxfId="23"/>
    <tableColumn id="4" xr3:uid="{21DBC020-8CDE-4DA4-8EEA-9AB8DDB06226}" name="PROJETO " dataDxfId="22"/>
    <tableColumn id="5" xr3:uid="{DCA35691-C662-4490-8304-8C8909C476C7}" name="TOTAL" dataDxfId="21" dataCellStyle="Moeda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8ECED6-4489-40D0-99A1-0D4FE73A165A}" name="Tabela5" displayName="Tabela5" ref="A214:E217" totalsRowShown="0" headerRowDxfId="20" dataDxfId="18" headerRowBorderDxfId="19" tableBorderDxfId="17" totalsRowBorderDxfId="16">
  <autoFilter ref="A214:E217" xr:uid="{F58ECED6-4489-40D0-99A1-0D4FE73A165A}"/>
  <tableColumns count="5">
    <tableColumn id="1" xr3:uid="{98DB2438-AB4B-47F5-B413-35B1D78B0022}" name="MALOTE/POSTAGEM " dataDxfId="15"/>
    <tableColumn id="2" xr3:uid="{ADF9B065-B0FD-48D0-9F36-E1FEA03C94A9}" name="FILIAL " dataDxfId="14"/>
    <tableColumn id="3" xr3:uid="{E08EBEA9-099D-43AC-BB03-3B83DC5BAFD9}" name="CR " dataDxfId="13"/>
    <tableColumn id="4" xr3:uid="{5D12E5BA-B055-4E14-9BC2-E21276A9BD00}" name="PROJETO " dataDxfId="12"/>
    <tableColumn id="5" xr3:uid="{C47E4802-FE4E-4F5D-95EB-7B38106BEDB2}" name="TOTAL" dataDxfId="11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31CFE68-0D6C-4480-8EB0-33D63E48B4C3}" name="Tabela6" displayName="Tabela6" ref="A220:E230" totalsRowShown="0" headerRowDxfId="10" headerRowBorderDxfId="9" tableBorderDxfId="8" totalsRowBorderDxfId="7">
  <autoFilter ref="A220:E230" xr:uid="{531CFE68-0D6C-4480-8EB0-33D63E48B4C3}"/>
  <tableColumns count="5">
    <tableColumn id="1" xr3:uid="{F25F02F8-BD65-414A-B07F-E7B3D6180734}" name="MALOTE/POSTAGEM " dataDxfId="6"/>
    <tableColumn id="2" xr3:uid="{50327B63-41F0-49F7-87A1-F98B0E094B99}" name="FILIAL " dataDxfId="5"/>
    <tableColumn id="3" xr3:uid="{621F97CB-D439-417F-BE7F-E1274CC2E9E6}" name="CR " dataDxfId="4"/>
    <tableColumn id="4" xr3:uid="{5934D53C-771B-4EDA-B4C7-337FD5D33099}" name="PROJETO " dataDxfId="3"/>
    <tableColumn id="5" xr3:uid="{0C3D2DB8-0022-4164-8E2D-A2E8E83306A1}" name="TOTAL" dataDxfId="2" dataCellStyle="Moeda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86D554-8CD1-4CF8-8CCE-279782C1E0D1}" name="Tabela4" displayName="Tabela4" ref="C47:J108" totalsRowShown="0">
  <autoFilter ref="C47:J108" xr:uid="{FF86D554-8CD1-4CF8-8CCE-279782C1E0D1}"/>
  <tableColumns count="8">
    <tableColumn id="1" xr3:uid="{E8315E11-4AA5-4A0A-A1FA-54BC9C1C091E}" name="Coluna1" dataDxfId="1"/>
    <tableColumn id="2" xr3:uid="{AE4A0DE0-36BB-45CB-8C50-E11663A50F20}" name="Coluna2"/>
    <tableColumn id="3" xr3:uid="{DC0A7529-78AA-49F5-8344-C5CAE298145C}" name="Coluna3"/>
    <tableColumn id="4" xr3:uid="{D1C17E82-B81C-4F3A-946C-D49AA208E8EC}" name="Coluna4"/>
    <tableColumn id="5" xr3:uid="{6FFB1DE9-F333-4576-AA9A-356A7CBB2ACB}" name="Coluna5"/>
    <tableColumn id="6" xr3:uid="{7C838042-35E2-4716-B4CD-10EE7E5D2BEA}" name="Coluna6"/>
    <tableColumn id="7" xr3:uid="{44C9F809-4BDA-462C-BCE1-EA1C04947245}" name="Coluna7"/>
    <tableColumn id="8" xr3:uid="{851891A2-B4B4-4BE9-8135-DA64452225B0}" name="Coluna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56A67-B134-4DB9-A81E-36AC7EF61013}">
  <dimension ref="A1:M248"/>
  <sheetViews>
    <sheetView tabSelected="1" zoomScale="92" zoomScaleNormal="92" workbookViewId="0">
      <pane ySplit="1" topLeftCell="A2" activePane="bottomLeft" state="frozen"/>
      <selection pane="bottomLeft" activeCell="H4" sqref="H4"/>
    </sheetView>
  </sheetViews>
  <sheetFormatPr defaultColWidth="14.42578125" defaultRowHeight="15" customHeight="1" x14ac:dyDescent="0.25"/>
  <cols>
    <col min="1" max="1" width="10.85546875" customWidth="1"/>
    <col min="2" max="2" width="81.42578125" bestFit="1" customWidth="1"/>
    <col min="3" max="3" width="29.42578125" customWidth="1"/>
    <col min="4" max="4" width="16.28515625" customWidth="1"/>
    <col min="5" max="5" width="15.28515625" customWidth="1"/>
    <col min="6" max="6" width="14.5703125" customWidth="1"/>
    <col min="7" max="7" width="26.42578125" hidden="1" customWidth="1"/>
    <col min="8" max="8" width="14.7109375" bestFit="1" customWidth="1"/>
    <col min="9" max="9" width="17.28515625" bestFit="1" customWidth="1"/>
    <col min="10" max="10" width="18.140625" style="23" customWidth="1"/>
    <col min="11" max="11" width="37.5703125" style="23" bestFit="1" customWidth="1"/>
  </cols>
  <sheetData>
    <row r="1" spans="1:13" ht="33" customHeight="1" x14ac:dyDescent="0.25">
      <c r="A1" s="69" t="s">
        <v>0</v>
      </c>
      <c r="B1" s="70" t="s">
        <v>176</v>
      </c>
      <c r="C1" s="70" t="s">
        <v>170</v>
      </c>
      <c r="D1" s="70" t="s">
        <v>171</v>
      </c>
      <c r="E1" s="70" t="s">
        <v>4</v>
      </c>
      <c r="F1" s="70" t="s">
        <v>156</v>
      </c>
      <c r="G1" s="70" t="s">
        <v>5</v>
      </c>
      <c r="H1" s="73" t="s">
        <v>6</v>
      </c>
      <c r="I1" s="71" t="s">
        <v>7</v>
      </c>
      <c r="J1" s="72" t="s">
        <v>175</v>
      </c>
      <c r="K1" s="72" t="s">
        <v>177</v>
      </c>
      <c r="L1" s="80" t="s">
        <v>647</v>
      </c>
      <c r="M1" s="80" t="s">
        <v>803</v>
      </c>
    </row>
    <row r="2" spans="1:13" ht="15.75" customHeight="1" x14ac:dyDescent="0.25">
      <c r="A2" s="8">
        <v>2</v>
      </c>
      <c r="B2" s="10" t="s">
        <v>178</v>
      </c>
      <c r="C2" s="10">
        <v>516</v>
      </c>
      <c r="D2" s="10">
        <v>8243</v>
      </c>
      <c r="E2" s="10">
        <v>25318</v>
      </c>
      <c r="F2" s="57">
        <v>336216</v>
      </c>
      <c r="G2" s="10" t="s">
        <v>9</v>
      </c>
      <c r="H2" s="34">
        <v>182.56</v>
      </c>
      <c r="I2" s="15">
        <v>49.92</v>
      </c>
      <c r="J2" s="61">
        <f>SUM(H2+I2)</f>
        <v>232.48000000000002</v>
      </c>
      <c r="K2" s="67" t="str">
        <f>_xlfn.XLOOKUP(C2,'REGIONAIS-GEREX'!$C$3:$C$445,'REGIONAIS-GEREX'!$A$3:$A$445,"")</f>
        <v>GEFAN - Centro Norte e Centro Oeste</v>
      </c>
      <c r="L2" s="81"/>
      <c r="M2" s="117">
        <f>Tabela2[[#This Row],[VALOR VSC PERCURSO]]+Tabela2[[#This Row],[VALOR ]]</f>
        <v>232.48000000000002</v>
      </c>
    </row>
    <row r="3" spans="1:13" ht="15.75" customHeight="1" x14ac:dyDescent="0.25">
      <c r="A3" s="8">
        <v>4</v>
      </c>
      <c r="B3" s="11" t="s">
        <v>178</v>
      </c>
      <c r="C3" s="11"/>
      <c r="D3" s="11"/>
      <c r="E3" s="11"/>
      <c r="F3" s="58">
        <v>336217</v>
      </c>
      <c r="G3" s="11" t="s">
        <v>9</v>
      </c>
      <c r="H3" s="16">
        <v>269.75</v>
      </c>
      <c r="I3" s="15">
        <v>427.69</v>
      </c>
      <c r="J3" s="61"/>
      <c r="K3" s="67" t="str">
        <f>_xlfn.XLOOKUP(C3,'REGIONAIS-GEREX'!$C$3:$C$445,'REGIONAIS-GEREX'!$A$3:$A$445," ")</f>
        <v xml:space="preserve"> </v>
      </c>
      <c r="L3" s="81"/>
      <c r="M3" s="117">
        <f>Tabela2[[#This Row],[VALOR VSC PERCURSO]]+Tabela2[[#This Row],[VALOR ]]</f>
        <v>697.44</v>
      </c>
    </row>
    <row r="4" spans="1:13" ht="15.75" customHeight="1" x14ac:dyDescent="0.25">
      <c r="A4" s="8">
        <v>5</v>
      </c>
      <c r="B4" s="10" t="s">
        <v>10</v>
      </c>
      <c r="C4" s="10">
        <v>203</v>
      </c>
      <c r="D4" s="10">
        <v>8144</v>
      </c>
      <c r="E4" s="10">
        <v>25318</v>
      </c>
      <c r="F4" s="58">
        <v>336217</v>
      </c>
      <c r="G4" s="11" t="s">
        <v>9</v>
      </c>
      <c r="H4" s="118">
        <f>H3/2</f>
        <v>134.875</v>
      </c>
      <c r="I4" s="35">
        <f>$I$3/2</f>
        <v>213.845</v>
      </c>
      <c r="J4" s="61">
        <f>SUM(H4+I4)</f>
        <v>348.72</v>
      </c>
      <c r="K4" s="67" t="str">
        <f>_xlfn.XLOOKUP(C4,'REGIONAIS-GEREX'!$C$3:$C$445,'REGIONAIS-GEREX'!$A$3:$A$445," ")</f>
        <v>Vale do Itajaí Mirim e Foz do Rio Itajaí</v>
      </c>
      <c r="L4" s="81"/>
      <c r="M4" s="117">
        <f>Tabela2[[#This Row],[VALOR VSC PERCURSO]]+Tabela2[[#This Row],[VALOR ]]</f>
        <v>348.72</v>
      </c>
    </row>
    <row r="5" spans="1:13" ht="15.75" customHeight="1" x14ac:dyDescent="0.25">
      <c r="A5" s="8">
        <v>6</v>
      </c>
      <c r="B5" s="10" t="s">
        <v>11</v>
      </c>
      <c r="C5" s="10">
        <v>211</v>
      </c>
      <c r="D5" s="10">
        <v>8144</v>
      </c>
      <c r="E5" s="10">
        <v>25318</v>
      </c>
      <c r="F5" s="58">
        <v>336217</v>
      </c>
      <c r="G5" s="11" t="s">
        <v>9</v>
      </c>
      <c r="H5" s="35">
        <f>H3/2</f>
        <v>134.875</v>
      </c>
      <c r="I5" s="35">
        <f>$I$3/2</f>
        <v>213.845</v>
      </c>
      <c r="J5" s="61">
        <f>SUM(H5+I5)</f>
        <v>348.72</v>
      </c>
      <c r="K5" s="67" t="str">
        <f>_xlfn.XLOOKUP(C5,'REGIONAIS-GEREX'!$C$3:$C$445,'REGIONAIS-GEREX'!$A$3:$A$445," ")</f>
        <v>Vale do Itajaí Mirim e Foz do Rio Itajaí</v>
      </c>
      <c r="L5" s="81"/>
      <c r="M5" s="117">
        <f>Tabela2[[#This Row],[VALOR VSC PERCURSO]]+Tabela2[[#This Row],[VALOR ]]</f>
        <v>348.72</v>
      </c>
    </row>
    <row r="6" spans="1:13" ht="15.75" customHeight="1" x14ac:dyDescent="0.25">
      <c r="A6" s="8">
        <v>7</v>
      </c>
      <c r="B6" s="10" t="s">
        <v>12</v>
      </c>
      <c r="C6" s="10">
        <v>215</v>
      </c>
      <c r="D6" s="10">
        <v>8144</v>
      </c>
      <c r="E6" s="10">
        <v>25318</v>
      </c>
      <c r="F6" s="57">
        <v>336219</v>
      </c>
      <c r="G6" s="10" t="s">
        <v>9</v>
      </c>
      <c r="H6" s="16">
        <v>0</v>
      </c>
      <c r="I6" s="50">
        <v>464.96</v>
      </c>
      <c r="J6" s="61">
        <f>SUM(H6+I6)</f>
        <v>464.96</v>
      </c>
      <c r="K6" s="67" t="str">
        <f>_xlfn.XLOOKUP(C6,'REGIONAIS-GEREX'!$C$3:$C$445,'REGIONAIS-GEREX'!$A$3:$A$445," ")</f>
        <v>Serra Catarinense</v>
      </c>
      <c r="L6" s="81"/>
      <c r="M6" s="117">
        <f>Tabela2[[#This Row],[VALOR VSC PERCURSO]]+Tabela2[[#This Row],[VALOR ]]</f>
        <v>464.96</v>
      </c>
    </row>
    <row r="7" spans="1:13" ht="15.75" customHeight="1" x14ac:dyDescent="0.25">
      <c r="A7" s="8">
        <v>8</v>
      </c>
      <c r="B7" s="11" t="s">
        <v>167</v>
      </c>
      <c r="C7" s="11"/>
      <c r="D7" s="11"/>
      <c r="E7" s="11"/>
      <c r="F7" s="58">
        <v>336222</v>
      </c>
      <c r="G7" s="11" t="s">
        <v>9</v>
      </c>
      <c r="H7" s="16">
        <v>360.53</v>
      </c>
      <c r="I7" s="50">
        <v>801.87</v>
      </c>
      <c r="J7" s="61"/>
      <c r="K7" s="67" t="str">
        <f>_xlfn.XLOOKUP(C7,'REGIONAIS-GEREX'!$C$3:$C$445,'REGIONAIS-GEREX'!$A$3:$A$445," ")</f>
        <v xml:space="preserve"> </v>
      </c>
      <c r="L7" s="81"/>
      <c r="M7" s="117">
        <f>Tabela2[[#This Row],[VALOR VSC PERCURSO]]+Tabela2[[#This Row],[VALOR ]]</f>
        <v>1162.4000000000001</v>
      </c>
    </row>
    <row r="8" spans="1:13" ht="15.75" customHeight="1" x14ac:dyDescent="0.25">
      <c r="A8" s="8">
        <v>9</v>
      </c>
      <c r="B8" s="10" t="s">
        <v>13</v>
      </c>
      <c r="C8" s="10">
        <v>208</v>
      </c>
      <c r="D8" s="10">
        <v>8144</v>
      </c>
      <c r="E8" s="10">
        <v>25318</v>
      </c>
      <c r="F8" s="58">
        <v>336222</v>
      </c>
      <c r="G8" s="11" t="s">
        <v>9</v>
      </c>
      <c r="H8" s="35">
        <f>$H$7/4</f>
        <v>90.132499999999993</v>
      </c>
      <c r="I8" s="35">
        <f>$I$7/4</f>
        <v>200.4675</v>
      </c>
      <c r="J8" s="61">
        <f t="shared" ref="J8:J14" si="0">SUM(H8+I8)</f>
        <v>290.60000000000002</v>
      </c>
      <c r="K8" s="67" t="str">
        <f>_xlfn.XLOOKUP(C8,'REGIONAIS-GEREX'!$C$3:$C$445,'REGIONAIS-GEREX'!$A$3:$A$445," ")</f>
        <v>Litoral Sul e Sul</v>
      </c>
      <c r="L8" s="81"/>
      <c r="M8" s="117">
        <f>Tabela2[[#This Row],[VALOR VSC PERCURSO]]+Tabela2[[#This Row],[VALOR ]]</f>
        <v>290.60000000000002</v>
      </c>
    </row>
    <row r="9" spans="1:13" ht="15.75" customHeight="1" x14ac:dyDescent="0.25">
      <c r="A9" s="8">
        <v>10</v>
      </c>
      <c r="B9" s="10" t="s">
        <v>179</v>
      </c>
      <c r="C9" s="10">
        <v>506</v>
      </c>
      <c r="D9" s="10">
        <v>8243</v>
      </c>
      <c r="E9" s="10">
        <v>25318</v>
      </c>
      <c r="F9" s="58">
        <v>336222</v>
      </c>
      <c r="G9" s="11" t="s">
        <v>9</v>
      </c>
      <c r="H9" s="35">
        <f>$H$7/4</f>
        <v>90.132499999999993</v>
      </c>
      <c r="I9" s="35">
        <f>$I$7/4</f>
        <v>200.4675</v>
      </c>
      <c r="J9" s="61">
        <f t="shared" si="0"/>
        <v>290.60000000000002</v>
      </c>
      <c r="K9" s="67" t="str">
        <f>_xlfn.XLOOKUP(C9,'REGIONAIS-GEREX'!$C$3:$C$445,'REGIONAIS-GEREX'!$A$3:$A$445," ")</f>
        <v>GEFAN - Sul e Sudeste</v>
      </c>
      <c r="L9" s="81"/>
      <c r="M9" s="117">
        <f>Tabela2[[#This Row],[VALOR VSC PERCURSO]]+Tabela2[[#This Row],[VALOR ]]</f>
        <v>290.60000000000002</v>
      </c>
    </row>
    <row r="10" spans="1:13" ht="15.75" customHeight="1" x14ac:dyDescent="0.25">
      <c r="A10" s="8">
        <v>11</v>
      </c>
      <c r="B10" s="10" t="s">
        <v>180</v>
      </c>
      <c r="C10" s="10">
        <v>513</v>
      </c>
      <c r="D10" s="10">
        <v>8243</v>
      </c>
      <c r="E10" s="10">
        <v>25318</v>
      </c>
      <c r="F10" s="58">
        <v>336222</v>
      </c>
      <c r="G10" s="11" t="s">
        <v>9</v>
      </c>
      <c r="H10" s="35">
        <f>$H$7/4</f>
        <v>90.132499999999993</v>
      </c>
      <c r="I10" s="35">
        <f>$I$7/4</f>
        <v>200.4675</v>
      </c>
      <c r="J10" s="61">
        <f t="shared" si="0"/>
        <v>290.60000000000002</v>
      </c>
      <c r="K10" s="67" t="str">
        <f>_xlfn.XLOOKUP(C10,'REGIONAIS-GEREX'!$C$3:$C$445,'REGIONAIS-GEREX'!$A$3:$A$445," ")</f>
        <v>GEFAN - Sul e Sudeste</v>
      </c>
      <c r="L10" s="81"/>
      <c r="M10" s="117">
        <f>Tabela2[[#This Row],[VALOR VSC PERCURSO]]+Tabela2[[#This Row],[VALOR ]]</f>
        <v>290.60000000000002</v>
      </c>
    </row>
    <row r="11" spans="1:13" ht="15.75" customHeight="1" x14ac:dyDescent="0.25">
      <c r="A11" s="8">
        <v>12</v>
      </c>
      <c r="B11" s="10" t="s">
        <v>181</v>
      </c>
      <c r="C11" s="10">
        <v>576</v>
      </c>
      <c r="D11" s="10">
        <v>8243</v>
      </c>
      <c r="E11" s="10">
        <v>25318</v>
      </c>
      <c r="F11" s="58">
        <v>336222</v>
      </c>
      <c r="G11" s="11" t="s">
        <v>9</v>
      </c>
      <c r="H11" s="35">
        <f>$H$7/4</f>
        <v>90.132499999999993</v>
      </c>
      <c r="I11" s="35">
        <f>$I$7/4</f>
        <v>200.4675</v>
      </c>
      <c r="J11" s="61">
        <f t="shared" si="0"/>
        <v>290.60000000000002</v>
      </c>
      <c r="K11" s="67" t="str">
        <f>_xlfn.XLOOKUP(C11,'REGIONAIS-GEREX'!$C$3:$C$445,'REGIONAIS-GEREX'!$A$3:$A$445," ")</f>
        <v>GEFAN - Sul e Sudeste</v>
      </c>
      <c r="L11" s="81"/>
      <c r="M11" s="117">
        <f>Tabela2[[#This Row],[VALOR VSC PERCURSO]]+Tabela2[[#This Row],[VALOR ]]</f>
        <v>290.60000000000002</v>
      </c>
    </row>
    <row r="12" spans="1:13" ht="15.75" customHeight="1" x14ac:dyDescent="0.25">
      <c r="A12" s="8">
        <v>13</v>
      </c>
      <c r="B12" s="10" t="s">
        <v>182</v>
      </c>
      <c r="C12" s="10">
        <v>582</v>
      </c>
      <c r="D12" s="10">
        <v>8243</v>
      </c>
      <c r="E12" s="10">
        <v>25318</v>
      </c>
      <c r="F12" s="57">
        <v>336223</v>
      </c>
      <c r="G12" s="10" t="s">
        <v>9</v>
      </c>
      <c r="H12" s="16">
        <v>199.84</v>
      </c>
      <c r="I12" s="50">
        <v>32.64</v>
      </c>
      <c r="J12" s="61">
        <f t="shared" si="0"/>
        <v>232.48000000000002</v>
      </c>
      <c r="K12" s="67" t="str">
        <f>_xlfn.XLOOKUP(C12,'REGIONAIS-GEREX'!$C$3:$C$445,'REGIONAIS-GEREX'!$A$3:$A$445," ")</f>
        <v>GEFAN - Sul e Sudeste</v>
      </c>
      <c r="L12" s="81"/>
      <c r="M12" s="117">
        <f>Tabela2[[#This Row],[VALOR VSC PERCURSO]]+Tabela2[[#This Row],[VALOR ]]</f>
        <v>232.48000000000002</v>
      </c>
    </row>
    <row r="13" spans="1:13" ht="15.75" customHeight="1" x14ac:dyDescent="0.25">
      <c r="A13" s="8">
        <v>14</v>
      </c>
      <c r="B13" s="10" t="s">
        <v>183</v>
      </c>
      <c r="C13" s="10">
        <v>569</v>
      </c>
      <c r="D13" s="10">
        <v>8243</v>
      </c>
      <c r="E13" s="10">
        <v>25318</v>
      </c>
      <c r="F13" s="57">
        <v>336224</v>
      </c>
      <c r="G13" s="10" t="s">
        <v>9</v>
      </c>
      <c r="H13" s="16">
        <v>74.94</v>
      </c>
      <c r="I13" s="50">
        <v>157.54</v>
      </c>
      <c r="J13" s="61">
        <f t="shared" si="0"/>
        <v>232.48</v>
      </c>
      <c r="K13" s="67" t="str">
        <f>_xlfn.XLOOKUP(C13,'REGIONAIS-GEREX'!$C$3:$C$445,'REGIONAIS-GEREX'!$A$3:$A$445," ")</f>
        <v>GEFAN - Sul e Sudeste</v>
      </c>
      <c r="L13" s="81"/>
      <c r="M13" s="117">
        <f>Tabela2[[#This Row],[VALOR VSC PERCURSO]]+Tabela2[[#This Row],[VALOR ]]</f>
        <v>232.48</v>
      </c>
    </row>
    <row r="14" spans="1:13" ht="15.75" customHeight="1" x14ac:dyDescent="0.25">
      <c r="A14" s="8">
        <v>15</v>
      </c>
      <c r="B14" s="10" t="s">
        <v>184</v>
      </c>
      <c r="C14" s="10">
        <v>577</v>
      </c>
      <c r="D14" s="10">
        <v>8243</v>
      </c>
      <c r="E14" s="10">
        <v>25318</v>
      </c>
      <c r="F14" s="57">
        <v>336225</v>
      </c>
      <c r="G14" s="10" t="s">
        <v>9</v>
      </c>
      <c r="H14" s="16">
        <v>74.94</v>
      </c>
      <c r="I14" s="50">
        <v>157.54</v>
      </c>
      <c r="J14" s="61">
        <f t="shared" si="0"/>
        <v>232.48</v>
      </c>
      <c r="K14" s="67" t="str">
        <f>_xlfn.XLOOKUP(C14,'REGIONAIS-GEREX'!$C$3:$C$445,'REGIONAIS-GEREX'!$A$3:$A$445," ")</f>
        <v>GEFAN - Sul e Sudeste</v>
      </c>
      <c r="L14" s="81"/>
      <c r="M14" s="117">
        <f>Tabela2[[#This Row],[VALOR VSC PERCURSO]]+Tabela2[[#This Row],[VALOR ]]</f>
        <v>232.48</v>
      </c>
    </row>
    <row r="15" spans="1:13" ht="15.75" customHeight="1" x14ac:dyDescent="0.25">
      <c r="A15" s="8">
        <v>16</v>
      </c>
      <c r="B15" s="11" t="s">
        <v>14</v>
      </c>
      <c r="C15" s="11"/>
      <c r="D15" s="45"/>
      <c r="E15" s="11"/>
      <c r="F15" s="58">
        <v>336227</v>
      </c>
      <c r="G15" s="11" t="s">
        <v>9</v>
      </c>
      <c r="H15" s="16">
        <v>633.87</v>
      </c>
      <c r="I15" s="50">
        <v>63.57</v>
      </c>
      <c r="J15" s="61"/>
      <c r="K15" s="67" t="str">
        <f>_xlfn.XLOOKUP(C15,'REGIONAIS-GEREX'!$C$3:$C$445,'REGIONAIS-GEREX'!$A$3:$A$445," ")</f>
        <v xml:space="preserve"> </v>
      </c>
      <c r="L15" s="81"/>
      <c r="M15" s="117">
        <f>Tabela2[[#This Row],[VALOR VSC PERCURSO]]+Tabela2[[#This Row],[VALOR ]]</f>
        <v>697.44</v>
      </c>
    </row>
    <row r="16" spans="1:13" ht="15.75" customHeight="1" x14ac:dyDescent="0.25">
      <c r="A16" s="8">
        <v>17</v>
      </c>
      <c r="B16" s="10" t="s">
        <v>185</v>
      </c>
      <c r="C16" s="10">
        <v>546</v>
      </c>
      <c r="D16" s="10">
        <v>8243</v>
      </c>
      <c r="E16" s="10">
        <v>25318</v>
      </c>
      <c r="F16" s="58">
        <v>336227</v>
      </c>
      <c r="G16" s="11" t="s">
        <v>9</v>
      </c>
      <c r="H16" s="35">
        <f>SUM(H15/11)</f>
        <v>57.624545454545455</v>
      </c>
      <c r="I16" s="35">
        <f t="shared" ref="I16:I25" si="1">$I$15/11</f>
        <v>5.7790909090909093</v>
      </c>
      <c r="J16" s="61">
        <f t="shared" ref="J16:J31" si="2">SUM(H16+I16)</f>
        <v>63.403636363636366</v>
      </c>
      <c r="K16" s="67" t="str">
        <f>_xlfn.XLOOKUP(C16,'REGIONAIS-GEREX'!$C$3:$C$445,'REGIONAIS-GEREX'!$A$3:$A$445," ")</f>
        <v>GEFAN - Vale e Foz do Rio Itajaí</v>
      </c>
      <c r="L16" s="81"/>
      <c r="M16" s="117">
        <f>Tabela2[[#This Row],[VALOR VSC PERCURSO]]+Tabela2[[#This Row],[VALOR ]]</f>
        <v>63.403636363636366</v>
      </c>
    </row>
    <row r="17" spans="1:13" ht="15.75" customHeight="1" x14ac:dyDescent="0.25">
      <c r="A17" s="8">
        <v>18</v>
      </c>
      <c r="B17" s="10" t="s">
        <v>186</v>
      </c>
      <c r="C17" s="10">
        <v>548</v>
      </c>
      <c r="D17" s="10">
        <v>8243</v>
      </c>
      <c r="E17" s="10">
        <v>25318</v>
      </c>
      <c r="F17" s="58">
        <v>336227</v>
      </c>
      <c r="G17" s="11" t="s">
        <v>9</v>
      </c>
      <c r="H17" s="35">
        <f>SUM(H15/11)</f>
        <v>57.624545454545455</v>
      </c>
      <c r="I17" s="35">
        <f t="shared" si="1"/>
        <v>5.7790909090909093</v>
      </c>
      <c r="J17" s="61">
        <f t="shared" si="2"/>
        <v>63.403636363636366</v>
      </c>
      <c r="K17" s="67" t="str">
        <f>_xlfn.XLOOKUP(C17,'REGIONAIS-GEREX'!$C$3:$C$445,'REGIONAIS-GEREX'!$A$3:$A$445," ")</f>
        <v>GEFAN - Vale e Foz do Rio Itajaí</v>
      </c>
      <c r="L17" s="81"/>
      <c r="M17" s="117">
        <f>Tabela2[[#This Row],[VALOR VSC PERCURSO]]+Tabela2[[#This Row],[VALOR ]]</f>
        <v>63.403636363636366</v>
      </c>
    </row>
    <row r="18" spans="1:13" ht="15.75" customHeight="1" x14ac:dyDescent="0.25">
      <c r="A18" s="8">
        <v>19</v>
      </c>
      <c r="B18" s="10" t="s">
        <v>187</v>
      </c>
      <c r="C18" s="10">
        <v>549</v>
      </c>
      <c r="D18" s="10">
        <v>8243</v>
      </c>
      <c r="E18" s="10">
        <v>25318</v>
      </c>
      <c r="F18" s="58">
        <v>336227</v>
      </c>
      <c r="G18" s="11" t="s">
        <v>9</v>
      </c>
      <c r="H18" s="35">
        <f>SUM(H15/11)</f>
        <v>57.624545454545455</v>
      </c>
      <c r="I18" s="35">
        <f t="shared" si="1"/>
        <v>5.7790909090909093</v>
      </c>
      <c r="J18" s="61">
        <f t="shared" si="2"/>
        <v>63.403636363636366</v>
      </c>
      <c r="K18" s="67" t="str">
        <f>_xlfn.XLOOKUP(C18,'REGIONAIS-GEREX'!$C$3:$C$445,'REGIONAIS-GEREX'!$A$3:$A$445," ")</f>
        <v>GEFAN - Vale e Foz do Rio Itajaí</v>
      </c>
      <c r="L18" s="81"/>
      <c r="M18" s="117">
        <f>Tabela2[[#This Row],[VALOR VSC PERCURSO]]+Tabela2[[#This Row],[VALOR ]]</f>
        <v>63.403636363636366</v>
      </c>
    </row>
    <row r="19" spans="1:13" ht="15.75" customHeight="1" x14ac:dyDescent="0.25">
      <c r="A19" s="8">
        <v>20</v>
      </c>
      <c r="B19" s="10" t="s">
        <v>188</v>
      </c>
      <c r="C19" s="10">
        <v>550</v>
      </c>
      <c r="D19" s="10">
        <v>8243</v>
      </c>
      <c r="E19" s="10">
        <v>25318</v>
      </c>
      <c r="F19" s="58">
        <v>336227</v>
      </c>
      <c r="G19" s="11" t="s">
        <v>9</v>
      </c>
      <c r="H19" s="35">
        <f>SUM(H15/11)</f>
        <v>57.624545454545455</v>
      </c>
      <c r="I19" s="35">
        <f t="shared" si="1"/>
        <v>5.7790909090909093</v>
      </c>
      <c r="J19" s="61">
        <f t="shared" si="2"/>
        <v>63.403636363636366</v>
      </c>
      <c r="K19" s="67" t="str">
        <f>_xlfn.XLOOKUP(C19,'REGIONAIS-GEREX'!$C$3:$C$445,'REGIONAIS-GEREX'!$A$3:$A$445," ")</f>
        <v>GEFAN - Vale e Foz do Rio Itajaí</v>
      </c>
      <c r="L19" s="81"/>
      <c r="M19" s="117">
        <f>Tabela2[[#This Row],[VALOR VSC PERCURSO]]+Tabela2[[#This Row],[VALOR ]]</f>
        <v>63.403636363636366</v>
      </c>
    </row>
    <row r="20" spans="1:13" ht="15.75" customHeight="1" x14ac:dyDescent="0.25">
      <c r="A20" s="8">
        <v>21</v>
      </c>
      <c r="B20" s="10" t="s">
        <v>189</v>
      </c>
      <c r="C20" s="10">
        <v>551</v>
      </c>
      <c r="D20" s="10">
        <v>8243</v>
      </c>
      <c r="E20" s="10">
        <v>25318</v>
      </c>
      <c r="F20" s="58">
        <v>336227</v>
      </c>
      <c r="G20" s="11" t="s">
        <v>9</v>
      </c>
      <c r="H20" s="35">
        <f>SUM(H15/11)</f>
        <v>57.624545454545455</v>
      </c>
      <c r="I20" s="35">
        <f t="shared" si="1"/>
        <v>5.7790909090909093</v>
      </c>
      <c r="J20" s="61">
        <f t="shared" si="2"/>
        <v>63.403636363636366</v>
      </c>
      <c r="K20" s="67" t="str">
        <f>_xlfn.XLOOKUP(C20,'REGIONAIS-GEREX'!$C$3:$C$445,'REGIONAIS-GEREX'!$A$3:$A$445," ")</f>
        <v>GEFAN - Vale e Foz do Rio Itajaí</v>
      </c>
      <c r="L20" s="81"/>
      <c r="M20" s="117">
        <f>Tabela2[[#This Row],[VALOR VSC PERCURSO]]+Tabela2[[#This Row],[VALOR ]]</f>
        <v>63.403636363636366</v>
      </c>
    </row>
    <row r="21" spans="1:13" ht="15.75" customHeight="1" x14ac:dyDescent="0.25">
      <c r="A21" s="8">
        <v>22</v>
      </c>
      <c r="B21" s="10" t="s">
        <v>190</v>
      </c>
      <c r="C21" s="10">
        <v>554</v>
      </c>
      <c r="D21" s="10">
        <v>8243</v>
      </c>
      <c r="E21" s="10">
        <v>25318</v>
      </c>
      <c r="F21" s="58">
        <v>336227</v>
      </c>
      <c r="G21" s="11" t="s">
        <v>9</v>
      </c>
      <c r="H21" s="35">
        <f>SUM(H15/11)</f>
        <v>57.624545454545455</v>
      </c>
      <c r="I21" s="35">
        <f t="shared" si="1"/>
        <v>5.7790909090909093</v>
      </c>
      <c r="J21" s="61">
        <f t="shared" si="2"/>
        <v>63.403636363636366</v>
      </c>
      <c r="K21" s="67" t="str">
        <f>_xlfn.XLOOKUP(C21,'REGIONAIS-GEREX'!$C$3:$C$445,'REGIONAIS-GEREX'!$A$3:$A$445," ")</f>
        <v>GEFAN - Vale e Foz do Rio Itajaí</v>
      </c>
      <c r="L21" s="81"/>
      <c r="M21" s="117">
        <f>Tabela2[[#This Row],[VALOR VSC PERCURSO]]+Tabela2[[#This Row],[VALOR ]]</f>
        <v>63.403636363636366</v>
      </c>
    </row>
    <row r="22" spans="1:13" ht="15.75" customHeight="1" x14ac:dyDescent="0.25">
      <c r="A22" s="8">
        <v>23</v>
      </c>
      <c r="B22" s="10" t="s">
        <v>191</v>
      </c>
      <c r="C22" s="10">
        <v>596</v>
      </c>
      <c r="D22" s="10">
        <v>8243</v>
      </c>
      <c r="E22" s="10">
        <v>25318</v>
      </c>
      <c r="F22" s="58">
        <v>336227</v>
      </c>
      <c r="G22" s="11" t="s">
        <v>9</v>
      </c>
      <c r="H22" s="35">
        <f>SUM(H15/11)</f>
        <v>57.624545454545455</v>
      </c>
      <c r="I22" s="35">
        <f t="shared" si="1"/>
        <v>5.7790909090909093</v>
      </c>
      <c r="J22" s="61">
        <f t="shared" si="2"/>
        <v>63.403636363636366</v>
      </c>
      <c r="K22" s="67" t="str">
        <f>_xlfn.XLOOKUP(C22,'REGIONAIS-GEREX'!$C$3:$C$445,'REGIONAIS-GEREX'!$A$3:$A$445," ")</f>
        <v>GEFAN - Vale e Foz do Rio Itajaí</v>
      </c>
      <c r="L22" s="81"/>
      <c r="M22" s="117">
        <f>Tabela2[[#This Row],[VALOR VSC PERCURSO]]+Tabela2[[#This Row],[VALOR ]]</f>
        <v>63.403636363636366</v>
      </c>
    </row>
    <row r="23" spans="1:13" ht="15.75" customHeight="1" x14ac:dyDescent="0.25">
      <c r="A23" s="8">
        <v>24</v>
      </c>
      <c r="B23" s="10" t="s">
        <v>192</v>
      </c>
      <c r="C23" s="10">
        <v>597</v>
      </c>
      <c r="D23" s="10">
        <v>8243</v>
      </c>
      <c r="E23" s="10">
        <v>25318</v>
      </c>
      <c r="F23" s="58">
        <v>336227</v>
      </c>
      <c r="G23" s="11" t="s">
        <v>9</v>
      </c>
      <c r="H23" s="35">
        <f>SUM(H15/11)</f>
        <v>57.624545454545455</v>
      </c>
      <c r="I23" s="35">
        <f t="shared" si="1"/>
        <v>5.7790909090909093</v>
      </c>
      <c r="J23" s="61">
        <f t="shared" si="2"/>
        <v>63.403636363636366</v>
      </c>
      <c r="K23" s="67" t="str">
        <f>_xlfn.XLOOKUP(C23,'REGIONAIS-GEREX'!$C$3:$C$445,'REGIONAIS-GEREX'!$A$3:$A$445," ")</f>
        <v>GEFAN - Vale e Foz do Rio Itajaí</v>
      </c>
      <c r="L23" s="81"/>
      <c r="M23" s="117">
        <f>Tabela2[[#This Row],[VALOR VSC PERCURSO]]+Tabela2[[#This Row],[VALOR ]]</f>
        <v>63.403636363636366</v>
      </c>
    </row>
    <row r="24" spans="1:13" ht="15.75" customHeight="1" x14ac:dyDescent="0.25">
      <c r="A24" s="8">
        <v>25</v>
      </c>
      <c r="B24" s="10" t="s">
        <v>193</v>
      </c>
      <c r="C24" s="10">
        <v>564</v>
      </c>
      <c r="D24" s="10">
        <v>8243</v>
      </c>
      <c r="E24" s="10">
        <v>25318</v>
      </c>
      <c r="F24" s="58">
        <v>336227</v>
      </c>
      <c r="G24" s="11" t="s">
        <v>9</v>
      </c>
      <c r="H24" s="35">
        <f>SUM(H15/11)</f>
        <v>57.624545454545455</v>
      </c>
      <c r="I24" s="35">
        <f t="shared" si="1"/>
        <v>5.7790909090909093</v>
      </c>
      <c r="J24" s="61">
        <f t="shared" si="2"/>
        <v>63.403636363636366</v>
      </c>
      <c r="K24" s="67" t="str">
        <f>_xlfn.XLOOKUP(C24,'REGIONAIS-GEREX'!$C$3:$C$445,'REGIONAIS-GEREX'!$A$3:$A$445," ")</f>
        <v>GEFAN - Vale e Foz do Rio Itajaí</v>
      </c>
      <c r="L24" s="81"/>
      <c r="M24" s="117">
        <f>Tabela2[[#This Row],[VALOR VSC PERCURSO]]+Tabela2[[#This Row],[VALOR ]]</f>
        <v>63.403636363636366</v>
      </c>
    </row>
    <row r="25" spans="1:13" ht="15.75" customHeight="1" x14ac:dyDescent="0.25">
      <c r="A25" s="8">
        <v>26</v>
      </c>
      <c r="B25" s="10" t="s">
        <v>194</v>
      </c>
      <c r="C25" s="10">
        <v>905</v>
      </c>
      <c r="D25" s="10">
        <v>8243</v>
      </c>
      <c r="E25" s="10">
        <v>25318</v>
      </c>
      <c r="F25" s="58">
        <v>336227</v>
      </c>
      <c r="G25" s="11" t="s">
        <v>9</v>
      </c>
      <c r="H25" s="35">
        <f>SUM(H15/11)</f>
        <v>57.624545454545455</v>
      </c>
      <c r="I25" s="35">
        <f t="shared" si="1"/>
        <v>5.7790909090909093</v>
      </c>
      <c r="J25" s="61">
        <f t="shared" si="2"/>
        <v>63.403636363636366</v>
      </c>
      <c r="K25" s="67" t="str">
        <f>_xlfn.XLOOKUP(C25,'REGIONAIS-GEREX'!$C$3:$C$445,'REGIONAIS-GEREX'!$A$3:$A$445," ")</f>
        <v>GEFAN - Vale e Foz do Rio Itajaí</v>
      </c>
      <c r="L25" s="81"/>
      <c r="M25" s="117">
        <f>Tabela2[[#This Row],[VALOR VSC PERCURSO]]+Tabela2[[#This Row],[VALOR ]]</f>
        <v>63.403636363636366</v>
      </c>
    </row>
    <row r="26" spans="1:13" ht="15.75" customHeight="1" x14ac:dyDescent="0.25">
      <c r="A26" s="8">
        <v>28</v>
      </c>
      <c r="B26" s="10" t="s">
        <v>15</v>
      </c>
      <c r="C26" s="10">
        <v>212</v>
      </c>
      <c r="D26" s="10">
        <v>8144</v>
      </c>
      <c r="E26" s="10">
        <v>25318</v>
      </c>
      <c r="F26" s="57">
        <v>336231</v>
      </c>
      <c r="G26" s="10" t="s">
        <v>9</v>
      </c>
      <c r="H26" s="16">
        <v>310.11</v>
      </c>
      <c r="I26" s="50">
        <v>852.29</v>
      </c>
      <c r="J26" s="61">
        <f t="shared" si="2"/>
        <v>1162.4000000000001</v>
      </c>
      <c r="K26" s="67" t="str">
        <f>_xlfn.XLOOKUP(C26,'REGIONAIS-GEREX'!$C$3:$C$445,'REGIONAIS-GEREX'!$A$3:$A$445," ")</f>
        <v>Planalto Norte e Vale do Itapocu</v>
      </c>
      <c r="L26" s="81"/>
      <c r="M26" s="117">
        <f>Tabela2[[#This Row],[VALOR VSC PERCURSO]]+Tabela2[[#This Row],[VALOR ]]</f>
        <v>1162.4000000000001</v>
      </c>
    </row>
    <row r="27" spans="1:13" ht="15.75" customHeight="1" x14ac:dyDescent="0.25">
      <c r="A27" s="8">
        <v>29</v>
      </c>
      <c r="B27" s="10" t="s">
        <v>195</v>
      </c>
      <c r="C27" s="10">
        <v>515</v>
      </c>
      <c r="D27" s="10">
        <v>8243</v>
      </c>
      <c r="E27" s="10">
        <v>25318</v>
      </c>
      <c r="F27" s="57">
        <v>336234</v>
      </c>
      <c r="G27" s="10" t="s">
        <v>9</v>
      </c>
      <c r="H27" s="16">
        <v>49.96</v>
      </c>
      <c r="I27" s="50">
        <v>182.52</v>
      </c>
      <c r="J27" s="61">
        <f t="shared" si="2"/>
        <v>232.48000000000002</v>
      </c>
      <c r="K27" s="67" t="str">
        <f>_xlfn.XLOOKUP(C27,'REGIONAIS-GEREX'!$C$3:$C$445,'REGIONAIS-GEREX'!$A$3:$A$445," ")</f>
        <v>GEFAN - Centro Norte e Centro Oeste</v>
      </c>
      <c r="L27" s="81"/>
      <c r="M27" s="117">
        <f>Tabela2[[#This Row],[VALOR VSC PERCURSO]]+Tabela2[[#This Row],[VALOR ]]</f>
        <v>232.48000000000002</v>
      </c>
    </row>
    <row r="28" spans="1:13" ht="15.75" customHeight="1" x14ac:dyDescent="0.25">
      <c r="A28" s="8">
        <v>30</v>
      </c>
      <c r="B28" s="10" t="s">
        <v>16</v>
      </c>
      <c r="C28" s="10">
        <v>223</v>
      </c>
      <c r="D28" s="10">
        <v>8144</v>
      </c>
      <c r="E28" s="10">
        <v>25318</v>
      </c>
      <c r="F28" s="57">
        <v>336236</v>
      </c>
      <c r="G28" s="10" t="s">
        <v>9</v>
      </c>
      <c r="H28" s="16">
        <v>153.47999999999999</v>
      </c>
      <c r="I28" s="50">
        <v>311.48</v>
      </c>
      <c r="J28" s="61">
        <f t="shared" si="2"/>
        <v>464.96000000000004</v>
      </c>
      <c r="K28" s="67" t="str">
        <f>_xlfn.XLOOKUP(C28,'REGIONAIS-GEREX'!$C$3:$C$445,'REGIONAIS-GEREX'!$A$3:$A$445," ")</f>
        <v>Centro Norte</v>
      </c>
      <c r="L28" s="81"/>
      <c r="M28" s="117">
        <f>Tabela2[[#This Row],[VALOR VSC PERCURSO]]+Tabela2[[#This Row],[VALOR ]]</f>
        <v>464.96000000000004</v>
      </c>
    </row>
    <row r="29" spans="1:13" ht="15.75" customHeight="1" x14ac:dyDescent="0.25">
      <c r="A29" s="8">
        <v>31</v>
      </c>
      <c r="B29" s="10" t="s">
        <v>196</v>
      </c>
      <c r="C29" s="10">
        <v>522</v>
      </c>
      <c r="D29" s="10">
        <v>8243</v>
      </c>
      <c r="E29" s="10">
        <v>25318</v>
      </c>
      <c r="F29" s="57">
        <v>336237</v>
      </c>
      <c r="G29" s="10" t="s">
        <v>9</v>
      </c>
      <c r="H29" s="16">
        <v>187.11</v>
      </c>
      <c r="I29" s="50">
        <v>45.37</v>
      </c>
      <c r="J29" s="61">
        <f t="shared" si="2"/>
        <v>232.48000000000002</v>
      </c>
      <c r="K29" s="67" t="str">
        <f>_xlfn.XLOOKUP(C29,'REGIONAIS-GEREX'!$C$3:$C$445,'REGIONAIS-GEREX'!$A$3:$A$445," ")</f>
        <v>GEFAN - Centro Norte e Centro Oeste</v>
      </c>
      <c r="L29" s="81"/>
      <c r="M29" s="117">
        <f>Tabela2[[#This Row],[VALOR VSC PERCURSO]]+Tabela2[[#This Row],[VALOR ]]</f>
        <v>232.48000000000002</v>
      </c>
    </row>
    <row r="30" spans="1:13" ht="15.75" customHeight="1" x14ac:dyDescent="0.25">
      <c r="A30" s="8">
        <v>32</v>
      </c>
      <c r="B30" s="10" t="s">
        <v>197</v>
      </c>
      <c r="C30" s="10">
        <v>925</v>
      </c>
      <c r="D30" s="10">
        <v>8243</v>
      </c>
      <c r="E30" s="10">
        <v>25318</v>
      </c>
      <c r="F30" s="57">
        <v>10437623</v>
      </c>
      <c r="G30" s="10" t="s">
        <v>154</v>
      </c>
      <c r="H30" s="16">
        <v>153.96</v>
      </c>
      <c r="I30" s="50">
        <v>78.52</v>
      </c>
      <c r="J30" s="61">
        <f t="shared" si="2"/>
        <v>232.48000000000002</v>
      </c>
      <c r="K30" s="67" t="str">
        <f>_xlfn.XLOOKUP(C30,'REGIONAIS-GEREX'!$C$3:$C$445,'REGIONAIS-GEREX'!$A$3:$A$445," ")</f>
        <v>GEFAN - Centro Norte e Centro Oeste</v>
      </c>
      <c r="L30" s="81"/>
      <c r="M30" s="117">
        <f>Tabela2[[#This Row],[VALOR VSC PERCURSO]]+Tabela2[[#This Row],[VALOR ]]</f>
        <v>232.48000000000002</v>
      </c>
    </row>
    <row r="31" spans="1:13" ht="15.75" customHeight="1" x14ac:dyDescent="0.25">
      <c r="A31" s="8">
        <v>33</v>
      </c>
      <c r="B31" s="9" t="s">
        <v>699</v>
      </c>
      <c r="C31" s="9">
        <v>542</v>
      </c>
      <c r="D31" s="9">
        <v>8243</v>
      </c>
      <c r="E31" s="9">
        <v>25318</v>
      </c>
      <c r="F31" s="59">
        <v>10437751</v>
      </c>
      <c r="G31" s="9" t="s">
        <v>154</v>
      </c>
      <c r="H31" s="36">
        <v>104</v>
      </c>
      <c r="I31" s="50">
        <v>128.47999999999999</v>
      </c>
      <c r="J31" s="61">
        <f t="shared" si="2"/>
        <v>232.48</v>
      </c>
      <c r="K31" s="67" t="str">
        <f>_xlfn.XLOOKUP(C31,'REGIONAIS-GEREX'!$C$3:$C$445,'REGIONAIS-GEREX'!$A$3:$A$445," ")</f>
        <v>GEFAN - Sul e Sudeste</v>
      </c>
      <c r="L31" s="81"/>
      <c r="M31" s="117">
        <f>Tabela2[[#This Row],[VALOR VSC PERCURSO]]+Tabela2[[#This Row],[VALOR ]]</f>
        <v>232.48</v>
      </c>
    </row>
    <row r="32" spans="1:13" ht="15.75" customHeight="1" x14ac:dyDescent="0.25">
      <c r="A32" s="8">
        <v>34</v>
      </c>
      <c r="B32" s="11" t="s">
        <v>17</v>
      </c>
      <c r="C32" s="11"/>
      <c r="D32" s="11"/>
      <c r="E32" s="11"/>
      <c r="F32" s="58">
        <v>336263</v>
      </c>
      <c r="G32" s="11" t="s">
        <v>9</v>
      </c>
      <c r="H32" s="16">
        <v>604.78</v>
      </c>
      <c r="I32" s="15">
        <v>0</v>
      </c>
      <c r="J32" s="61"/>
      <c r="K32" s="67" t="str">
        <f>_xlfn.XLOOKUP(C32,'REGIONAIS-GEREX'!$C$3:$C$445,'REGIONAIS-GEREX'!$A$3:$A$445," ")</f>
        <v xml:space="preserve"> </v>
      </c>
      <c r="L32" s="81"/>
      <c r="M32" s="117">
        <f>Tabela2[[#This Row],[VALOR VSC PERCURSO]]+Tabela2[[#This Row],[VALOR ]]</f>
        <v>604.78</v>
      </c>
    </row>
    <row r="33" spans="1:13" ht="15.75" customHeight="1" x14ac:dyDescent="0.25">
      <c r="A33" s="8">
        <v>35</v>
      </c>
      <c r="B33" s="10" t="s">
        <v>18</v>
      </c>
      <c r="C33" s="10">
        <v>207</v>
      </c>
      <c r="D33" s="10">
        <v>8144</v>
      </c>
      <c r="E33" s="10">
        <v>25318</v>
      </c>
      <c r="F33" s="58">
        <v>336263</v>
      </c>
      <c r="G33" s="11" t="s">
        <v>9</v>
      </c>
      <c r="H33" s="37">
        <f>($H$32/4)*0.97</f>
        <v>146.65914999999998</v>
      </c>
      <c r="I33" s="37">
        <f>($I$32/4)*0.97</f>
        <v>0</v>
      </c>
      <c r="J33" s="61">
        <f t="shared" ref="J33:J38" si="3">SUM(H33+I33)</f>
        <v>146.65914999999998</v>
      </c>
      <c r="K33" s="67" t="str">
        <f>_xlfn.XLOOKUP(C33,'REGIONAIS-GEREX'!$C$3:$C$445,'REGIONAIS-GEREX'!$A$3:$A$445," ")</f>
        <v>Alto Uruguai Catarinense e Centro Oeste</v>
      </c>
      <c r="L33" s="81"/>
      <c r="M33" s="117">
        <f>Tabela2[[#This Row],[VALOR VSC PERCURSO]]+Tabela2[[#This Row],[VALOR ]]</f>
        <v>146.65914999999998</v>
      </c>
    </row>
    <row r="34" spans="1:13" ht="15.75" customHeight="1" x14ac:dyDescent="0.25">
      <c r="A34" s="8">
        <v>36</v>
      </c>
      <c r="B34" s="10" t="s">
        <v>19</v>
      </c>
      <c r="C34" s="10">
        <v>244</v>
      </c>
      <c r="D34" s="10">
        <v>8154</v>
      </c>
      <c r="E34" s="10">
        <v>25318</v>
      </c>
      <c r="F34" s="58">
        <v>336263</v>
      </c>
      <c r="G34" s="11" t="s">
        <v>9</v>
      </c>
      <c r="H34" s="37">
        <f>($H$32/4)*0.03</f>
        <v>4.5358499999999999</v>
      </c>
      <c r="I34" s="37">
        <f>($I$32/4)*0.03</f>
        <v>0</v>
      </c>
      <c r="J34" s="61">
        <f t="shared" si="3"/>
        <v>4.5358499999999999</v>
      </c>
      <c r="K34" s="67" t="str">
        <f>_xlfn.XLOOKUP(C34,'REGIONAIS-GEREX'!$C$3:$C$445,'REGIONAIS-GEREX'!$A$3:$A$445," ")</f>
        <v>Alto Uruguai Catarinense e Centro Oeste</v>
      </c>
      <c r="L34" s="81"/>
      <c r="M34" s="117">
        <f>Tabela2[[#This Row],[VALOR VSC PERCURSO]]+Tabela2[[#This Row],[VALOR ]]</f>
        <v>4.5358499999999999</v>
      </c>
    </row>
    <row r="35" spans="1:13" ht="15.75" customHeight="1" x14ac:dyDescent="0.25">
      <c r="A35" s="8">
        <v>37</v>
      </c>
      <c r="B35" s="10" t="s">
        <v>20</v>
      </c>
      <c r="C35" s="9">
        <v>807</v>
      </c>
      <c r="D35" s="9">
        <v>8264</v>
      </c>
      <c r="E35" s="9">
        <v>25318</v>
      </c>
      <c r="F35" s="58">
        <v>336263</v>
      </c>
      <c r="G35" s="11" t="s">
        <v>9</v>
      </c>
      <c r="H35" s="37">
        <f>($H$32/4)</f>
        <v>151.19499999999999</v>
      </c>
      <c r="I35" s="37">
        <f>($I$32/4)</f>
        <v>0</v>
      </c>
      <c r="J35" s="61">
        <f t="shared" si="3"/>
        <v>151.19499999999999</v>
      </c>
      <c r="K35" s="67" t="str">
        <f>_xlfn.XLOOKUP(C35,'REGIONAIS-GEREX'!$C$3:$C$445,'REGIONAIS-GEREX'!$A$3:$A$445," ")</f>
        <v>GEFAN - Centro Norte e Centro Oeste</v>
      </c>
      <c r="L35" s="81"/>
      <c r="M35" s="117">
        <f>Tabela2[[#This Row],[VALOR VSC PERCURSO]]+Tabela2[[#This Row],[VALOR ]]</f>
        <v>151.19499999999999</v>
      </c>
    </row>
    <row r="36" spans="1:13" ht="15.75" customHeight="1" x14ac:dyDescent="0.25">
      <c r="A36" s="8">
        <v>38</v>
      </c>
      <c r="B36" s="10" t="s">
        <v>198</v>
      </c>
      <c r="C36" s="9">
        <v>510</v>
      </c>
      <c r="D36" s="9">
        <v>8243</v>
      </c>
      <c r="E36" s="9">
        <v>25318</v>
      </c>
      <c r="F36" s="58">
        <v>336263</v>
      </c>
      <c r="G36" s="11" t="s">
        <v>9</v>
      </c>
      <c r="H36" s="37">
        <f>($H$32/4)</f>
        <v>151.19499999999999</v>
      </c>
      <c r="I36" s="37">
        <f>($I$32/4)</f>
        <v>0</v>
      </c>
      <c r="J36" s="61">
        <f t="shared" si="3"/>
        <v>151.19499999999999</v>
      </c>
      <c r="K36" s="67" t="str">
        <f>_xlfn.XLOOKUP(C36,'REGIONAIS-GEREX'!$C$3:$C$445,'REGIONAIS-GEREX'!$A$3:$A$445," ")</f>
        <v>GEFAN - Centro Norte e Centro Oeste</v>
      </c>
      <c r="L36" s="81"/>
      <c r="M36" s="117">
        <f>Tabela2[[#This Row],[VALOR VSC PERCURSO]]+Tabela2[[#This Row],[VALOR ]]</f>
        <v>151.19499999999999</v>
      </c>
    </row>
    <row r="37" spans="1:13" ht="15.75" customHeight="1" x14ac:dyDescent="0.25">
      <c r="A37" s="8">
        <v>39</v>
      </c>
      <c r="B37" s="10" t="s">
        <v>199</v>
      </c>
      <c r="C37" s="10">
        <v>587</v>
      </c>
      <c r="D37" s="10">
        <v>8243</v>
      </c>
      <c r="E37" s="10">
        <v>25318</v>
      </c>
      <c r="F37" s="58">
        <v>336263</v>
      </c>
      <c r="G37" s="11" t="s">
        <v>9</v>
      </c>
      <c r="H37" s="37">
        <f>($H$32/4)</f>
        <v>151.19499999999999</v>
      </c>
      <c r="I37" s="37">
        <f>($I$32/4)</f>
        <v>0</v>
      </c>
      <c r="J37" s="61">
        <f t="shared" si="3"/>
        <v>151.19499999999999</v>
      </c>
      <c r="K37" s="67" t="str">
        <f>_xlfn.XLOOKUP(C37,'REGIONAIS-GEREX'!$C$3:$C$445,'REGIONAIS-GEREX'!$A$3:$A$445," ")</f>
        <v>GEFAN - Centro Norte e Centro Oeste</v>
      </c>
      <c r="L37" s="81"/>
      <c r="M37" s="117">
        <f>Tabela2[[#This Row],[VALOR VSC PERCURSO]]+Tabela2[[#This Row],[VALOR ]]</f>
        <v>151.19499999999999</v>
      </c>
    </row>
    <row r="38" spans="1:13" ht="15.75" customHeight="1" x14ac:dyDescent="0.25">
      <c r="A38" s="8">
        <v>40</v>
      </c>
      <c r="B38" s="10" t="s">
        <v>200</v>
      </c>
      <c r="C38" s="10">
        <v>534</v>
      </c>
      <c r="D38" s="10">
        <v>8243</v>
      </c>
      <c r="E38" s="10">
        <v>25318</v>
      </c>
      <c r="F38" s="57">
        <v>336148</v>
      </c>
      <c r="G38" s="10" t="s">
        <v>9</v>
      </c>
      <c r="H38" s="16">
        <v>74.94</v>
      </c>
      <c r="I38" s="50">
        <v>225.38</v>
      </c>
      <c r="J38" s="61">
        <f t="shared" si="3"/>
        <v>300.32</v>
      </c>
      <c r="K38" s="67" t="str">
        <f>_xlfn.XLOOKUP(C38,'REGIONAIS-GEREX'!$C$3:$C$445,'REGIONAIS-GEREX'!$A$3:$A$445," ")</f>
        <v>GEFAN - Alto Vale e Serra</v>
      </c>
      <c r="L38" s="81"/>
      <c r="M38" s="117">
        <f>Tabela2[[#This Row],[VALOR VSC PERCURSO]]+Tabela2[[#This Row],[VALOR ]]</f>
        <v>300.32</v>
      </c>
    </row>
    <row r="39" spans="1:13" ht="15.75" customHeight="1" x14ac:dyDescent="0.25">
      <c r="A39" s="8">
        <v>41</v>
      </c>
      <c r="B39" s="11" t="s">
        <v>21</v>
      </c>
      <c r="C39" s="11"/>
      <c r="D39" s="11"/>
      <c r="E39" s="11"/>
      <c r="F39" s="58">
        <v>336152</v>
      </c>
      <c r="G39" s="11" t="s">
        <v>9</v>
      </c>
      <c r="H39" s="54">
        <v>613.45000000000005</v>
      </c>
      <c r="I39" s="55">
        <v>888.15</v>
      </c>
      <c r="J39" s="61"/>
      <c r="K39" s="67" t="str">
        <f>_xlfn.XLOOKUP(C39,'REGIONAIS-GEREX'!$C$3:$C$445,'REGIONAIS-GEREX'!$A$3:$A$445," ")</f>
        <v xml:space="preserve"> </v>
      </c>
      <c r="L39" s="81"/>
      <c r="M39" s="117">
        <f>Tabela2[[#This Row],[VALOR VSC PERCURSO]]+Tabela2[[#This Row],[VALOR ]]</f>
        <v>1501.6</v>
      </c>
    </row>
    <row r="40" spans="1:13" ht="15.75" customHeight="1" x14ac:dyDescent="0.25">
      <c r="A40" s="8">
        <v>42</v>
      </c>
      <c r="B40" s="10" t="s">
        <v>22</v>
      </c>
      <c r="C40" s="10">
        <v>214</v>
      </c>
      <c r="D40" s="10">
        <v>8144</v>
      </c>
      <c r="E40" s="10">
        <v>25318</v>
      </c>
      <c r="F40" s="58">
        <v>336152</v>
      </c>
      <c r="G40" s="11" t="s">
        <v>9</v>
      </c>
      <c r="H40" s="35">
        <f t="shared" ref="H40:H49" si="4">$H$39/10</f>
        <v>61.345000000000006</v>
      </c>
      <c r="I40" s="35">
        <f t="shared" ref="I40:I49" si="5">$I$39/10</f>
        <v>88.814999999999998</v>
      </c>
      <c r="J40" s="61">
        <f t="shared" ref="J40:J51" si="6">SUM(H40+I40)</f>
        <v>150.16</v>
      </c>
      <c r="K40" s="67" t="str">
        <f>_xlfn.XLOOKUP(C40,'REGIONAIS-GEREX'!$C$3:$C$445,'REGIONAIS-GEREX'!$A$3:$A$445," ")</f>
        <v>Norte Nordeste</v>
      </c>
      <c r="L40" s="81"/>
      <c r="M40" s="117">
        <f>Tabela2[[#This Row],[VALOR VSC PERCURSO]]+Tabela2[[#This Row],[VALOR ]]</f>
        <v>150.16</v>
      </c>
    </row>
    <row r="41" spans="1:13" ht="15.75" customHeight="1" x14ac:dyDescent="0.25">
      <c r="A41" s="8">
        <v>43</v>
      </c>
      <c r="B41" s="10" t="s">
        <v>201</v>
      </c>
      <c r="C41" s="10">
        <v>556</v>
      </c>
      <c r="D41" s="10">
        <v>8243</v>
      </c>
      <c r="E41" s="10">
        <v>25318</v>
      </c>
      <c r="F41" s="58">
        <v>336152</v>
      </c>
      <c r="G41" s="11" t="s">
        <v>9</v>
      </c>
      <c r="H41" s="35">
        <f t="shared" si="4"/>
        <v>61.345000000000006</v>
      </c>
      <c r="I41" s="35">
        <f t="shared" si="5"/>
        <v>88.814999999999998</v>
      </c>
      <c r="J41" s="61">
        <f t="shared" si="6"/>
        <v>150.16</v>
      </c>
      <c r="K41" s="67" t="str">
        <f>_xlfn.XLOOKUP(C41,'REGIONAIS-GEREX'!$C$3:$C$445,'REGIONAIS-GEREX'!$A$3:$A$445," ")</f>
        <v>GEFAN - Oeste</v>
      </c>
      <c r="L41" s="81"/>
      <c r="M41" s="117">
        <f>Tabela2[[#This Row],[VALOR VSC PERCURSO]]+Tabela2[[#This Row],[VALOR ]]</f>
        <v>150.16</v>
      </c>
    </row>
    <row r="42" spans="1:13" ht="15.75" customHeight="1" x14ac:dyDescent="0.25">
      <c r="A42" s="8">
        <v>44</v>
      </c>
      <c r="B42" s="10" t="s">
        <v>202</v>
      </c>
      <c r="C42" s="10">
        <v>557</v>
      </c>
      <c r="D42" s="10">
        <v>8243</v>
      </c>
      <c r="E42" s="10">
        <v>25318</v>
      </c>
      <c r="F42" s="58">
        <v>336152</v>
      </c>
      <c r="G42" s="11" t="s">
        <v>9</v>
      </c>
      <c r="H42" s="35">
        <f t="shared" si="4"/>
        <v>61.345000000000006</v>
      </c>
      <c r="I42" s="35">
        <f t="shared" si="5"/>
        <v>88.814999999999998</v>
      </c>
      <c r="J42" s="61">
        <f t="shared" si="6"/>
        <v>150.16</v>
      </c>
      <c r="K42" s="67" t="str">
        <f>_xlfn.XLOOKUP(C42,'REGIONAIS-GEREX'!$C$3:$C$445,'REGIONAIS-GEREX'!$A$3:$A$445," ")</f>
        <v>GEFAN - Norte - Nordeste / Plan. e Vale</v>
      </c>
      <c r="L42" s="81"/>
      <c r="M42" s="117">
        <f>Tabela2[[#This Row],[VALOR VSC PERCURSO]]+Tabela2[[#This Row],[VALOR ]]</f>
        <v>150.16</v>
      </c>
    </row>
    <row r="43" spans="1:13" ht="15.75" customHeight="1" x14ac:dyDescent="0.25">
      <c r="A43" s="8">
        <v>45</v>
      </c>
      <c r="B43" s="10" t="s">
        <v>203</v>
      </c>
      <c r="C43" s="10">
        <v>559</v>
      </c>
      <c r="D43" s="10">
        <v>8243</v>
      </c>
      <c r="E43" s="10">
        <v>25318</v>
      </c>
      <c r="F43" s="58">
        <v>336152</v>
      </c>
      <c r="G43" s="11" t="s">
        <v>9</v>
      </c>
      <c r="H43" s="35">
        <f t="shared" si="4"/>
        <v>61.345000000000006</v>
      </c>
      <c r="I43" s="35">
        <f t="shared" si="5"/>
        <v>88.814999999999998</v>
      </c>
      <c r="J43" s="61">
        <f t="shared" si="6"/>
        <v>150.16</v>
      </c>
      <c r="K43" s="67" t="str">
        <f>_xlfn.XLOOKUP(C43,'REGIONAIS-GEREX'!$C$3:$C$445,'REGIONAIS-GEREX'!$A$3:$A$445," ")</f>
        <v>GEFAN - Norte - Nordeste / Plan. e Vale</v>
      </c>
      <c r="L43" s="81"/>
      <c r="M43" s="117">
        <f>Tabela2[[#This Row],[VALOR VSC PERCURSO]]+Tabela2[[#This Row],[VALOR ]]</f>
        <v>150.16</v>
      </c>
    </row>
    <row r="44" spans="1:13" ht="15.75" customHeight="1" x14ac:dyDescent="0.25">
      <c r="A44" s="8">
        <v>46</v>
      </c>
      <c r="B44" s="10" t="s">
        <v>204</v>
      </c>
      <c r="C44" s="10">
        <v>560</v>
      </c>
      <c r="D44" s="10">
        <v>8243</v>
      </c>
      <c r="E44" s="10">
        <v>25318</v>
      </c>
      <c r="F44" s="58">
        <v>336152</v>
      </c>
      <c r="G44" s="11" t="s">
        <v>9</v>
      </c>
      <c r="H44" s="35">
        <f t="shared" si="4"/>
        <v>61.345000000000006</v>
      </c>
      <c r="I44" s="35">
        <f t="shared" si="5"/>
        <v>88.814999999999998</v>
      </c>
      <c r="J44" s="61">
        <f t="shared" si="6"/>
        <v>150.16</v>
      </c>
      <c r="K44" s="67" t="str">
        <f>_xlfn.XLOOKUP(C44,'REGIONAIS-GEREX'!$C$3:$C$445,'REGIONAIS-GEREX'!$A$3:$A$445," ")</f>
        <v>GEFAN - Norte - Nordeste / Plan. e Vale</v>
      </c>
      <c r="L44" s="81"/>
      <c r="M44" s="117">
        <f>Tabela2[[#This Row],[VALOR VSC PERCURSO]]+Tabela2[[#This Row],[VALOR ]]</f>
        <v>150.16</v>
      </c>
    </row>
    <row r="45" spans="1:13" ht="15.75" customHeight="1" x14ac:dyDescent="0.25">
      <c r="A45" s="8">
        <v>47</v>
      </c>
      <c r="B45" s="10" t="s">
        <v>205</v>
      </c>
      <c r="C45" s="10">
        <v>562</v>
      </c>
      <c r="D45" s="10">
        <v>8243</v>
      </c>
      <c r="E45" s="10">
        <v>25318</v>
      </c>
      <c r="F45" s="58">
        <v>336152</v>
      </c>
      <c r="G45" s="11" t="s">
        <v>9</v>
      </c>
      <c r="H45" s="35">
        <f t="shared" si="4"/>
        <v>61.345000000000006</v>
      </c>
      <c r="I45" s="35">
        <f t="shared" si="5"/>
        <v>88.814999999999998</v>
      </c>
      <c r="J45" s="61">
        <f t="shared" si="6"/>
        <v>150.16</v>
      </c>
      <c r="K45" s="67" t="str">
        <f>_xlfn.XLOOKUP(C45,'REGIONAIS-GEREX'!$C$3:$C$445,'REGIONAIS-GEREX'!$A$3:$A$445," ")</f>
        <v>GEFAN - Norte - Nordeste / Plan. e Vale</v>
      </c>
      <c r="L45" s="81"/>
      <c r="M45" s="117">
        <f>Tabela2[[#This Row],[VALOR VSC PERCURSO]]+Tabela2[[#This Row],[VALOR ]]</f>
        <v>150.16</v>
      </c>
    </row>
    <row r="46" spans="1:13" ht="15.75" customHeight="1" x14ac:dyDescent="0.25">
      <c r="A46" s="8">
        <v>48</v>
      </c>
      <c r="B46" s="10" t="s">
        <v>206</v>
      </c>
      <c r="C46" s="10">
        <v>563</v>
      </c>
      <c r="D46" s="10">
        <v>8243</v>
      </c>
      <c r="E46" s="10">
        <v>25318</v>
      </c>
      <c r="F46" s="58">
        <v>336152</v>
      </c>
      <c r="G46" s="11" t="s">
        <v>9</v>
      </c>
      <c r="H46" s="35">
        <f t="shared" si="4"/>
        <v>61.345000000000006</v>
      </c>
      <c r="I46" s="35">
        <f t="shared" si="5"/>
        <v>88.814999999999998</v>
      </c>
      <c r="J46" s="61">
        <f t="shared" si="6"/>
        <v>150.16</v>
      </c>
      <c r="K46" s="67" t="str">
        <f>_xlfn.XLOOKUP(C46,'REGIONAIS-GEREX'!$C$3:$C$445,'REGIONAIS-GEREX'!$A$3:$A$445," ")</f>
        <v>GEFAN - Norte - Nordeste / Plan. e Vale</v>
      </c>
      <c r="L46" s="81"/>
      <c r="M46" s="117">
        <f>Tabela2[[#This Row],[VALOR VSC PERCURSO]]+Tabela2[[#This Row],[VALOR ]]</f>
        <v>150.16</v>
      </c>
    </row>
    <row r="47" spans="1:13" ht="15.75" customHeight="1" x14ac:dyDescent="0.25">
      <c r="A47" s="8">
        <v>49</v>
      </c>
      <c r="B47" s="10" t="s">
        <v>207</v>
      </c>
      <c r="C47" s="10">
        <v>574</v>
      </c>
      <c r="D47" s="10">
        <v>8243</v>
      </c>
      <c r="E47" s="10">
        <v>25318</v>
      </c>
      <c r="F47" s="58">
        <v>336152</v>
      </c>
      <c r="G47" s="11" t="s">
        <v>9</v>
      </c>
      <c r="H47" s="35">
        <f t="shared" si="4"/>
        <v>61.345000000000006</v>
      </c>
      <c r="I47" s="35">
        <f t="shared" si="5"/>
        <v>88.814999999999998</v>
      </c>
      <c r="J47" s="61">
        <f t="shared" si="6"/>
        <v>150.16</v>
      </c>
      <c r="K47" s="67" t="str">
        <f>_xlfn.XLOOKUP(C47,'REGIONAIS-GEREX'!$C$3:$C$445,'REGIONAIS-GEREX'!$A$3:$A$445," ")</f>
        <v>GEFAN - Norte - Nordeste / Plan. e Vale</v>
      </c>
      <c r="L47" s="81"/>
      <c r="M47" s="117">
        <f>Tabela2[[#This Row],[VALOR VSC PERCURSO]]+Tabela2[[#This Row],[VALOR ]]</f>
        <v>150.16</v>
      </c>
    </row>
    <row r="48" spans="1:13" ht="15.75" customHeight="1" x14ac:dyDescent="0.25">
      <c r="A48" s="8">
        <v>50</v>
      </c>
      <c r="B48" s="10" t="s">
        <v>208</v>
      </c>
      <c r="C48" s="10">
        <v>586</v>
      </c>
      <c r="D48" s="10">
        <v>8243</v>
      </c>
      <c r="E48" s="10">
        <v>25318</v>
      </c>
      <c r="F48" s="58">
        <v>336152</v>
      </c>
      <c r="G48" s="11" t="s">
        <v>9</v>
      </c>
      <c r="H48" s="35">
        <f t="shared" si="4"/>
        <v>61.345000000000006</v>
      </c>
      <c r="I48" s="35">
        <f t="shared" si="5"/>
        <v>88.814999999999998</v>
      </c>
      <c r="J48" s="61">
        <f t="shared" si="6"/>
        <v>150.16</v>
      </c>
      <c r="K48" s="67" t="str">
        <f>_xlfn.XLOOKUP(C48,'REGIONAIS-GEREX'!$C$3:$C$445,'REGIONAIS-GEREX'!$A$3:$A$445," ")</f>
        <v>GEFAN - Norte - Nordeste / Plan. e Vale</v>
      </c>
      <c r="L48" s="81"/>
      <c r="M48" s="117">
        <f>Tabela2[[#This Row],[VALOR VSC PERCURSO]]+Tabela2[[#This Row],[VALOR ]]</f>
        <v>150.16</v>
      </c>
    </row>
    <row r="49" spans="1:13" ht="15.75" customHeight="1" x14ac:dyDescent="0.25">
      <c r="A49" s="8">
        <v>51</v>
      </c>
      <c r="B49" s="10" t="s">
        <v>172</v>
      </c>
      <c r="C49" s="10">
        <v>599</v>
      </c>
      <c r="D49" s="10">
        <v>8243</v>
      </c>
      <c r="E49" s="10">
        <v>25318</v>
      </c>
      <c r="F49" s="58">
        <v>336152</v>
      </c>
      <c r="G49" s="11" t="s">
        <v>9</v>
      </c>
      <c r="H49" s="35">
        <f t="shared" si="4"/>
        <v>61.345000000000006</v>
      </c>
      <c r="I49" s="35">
        <f t="shared" si="5"/>
        <v>88.814999999999998</v>
      </c>
      <c r="J49" s="61">
        <f t="shared" si="6"/>
        <v>150.16</v>
      </c>
      <c r="K49" s="67" t="str">
        <f>_xlfn.XLOOKUP(C49,'REGIONAIS-GEREX'!$C$3:$C$445,'REGIONAIS-GEREX'!$A$3:$A$445," ")</f>
        <v>GEFAN - Norte - Nordeste / Plan. e Vale</v>
      </c>
      <c r="L49" s="81"/>
      <c r="M49" s="117">
        <f>Tabela2[[#This Row],[VALOR VSC PERCURSO]]+Tabela2[[#This Row],[VALOR ]]</f>
        <v>150.16</v>
      </c>
    </row>
    <row r="50" spans="1:13" ht="15.75" customHeight="1" x14ac:dyDescent="0.25">
      <c r="A50" s="8">
        <v>52</v>
      </c>
      <c r="B50" s="10" t="s">
        <v>23</v>
      </c>
      <c r="C50" s="10">
        <v>213</v>
      </c>
      <c r="D50" s="10">
        <v>12161</v>
      </c>
      <c r="E50" s="10">
        <v>25318</v>
      </c>
      <c r="F50" s="57">
        <v>336155</v>
      </c>
      <c r="G50" s="10" t="s">
        <v>9</v>
      </c>
      <c r="H50" s="16">
        <v>207.55</v>
      </c>
      <c r="I50" s="49">
        <v>257.41000000000003</v>
      </c>
      <c r="J50" s="61">
        <f t="shared" si="6"/>
        <v>464.96000000000004</v>
      </c>
      <c r="K50" s="67" t="str">
        <f>_xlfn.XLOOKUP(C50,'REGIONAIS-GEREX'!$C$3:$C$445,'REGIONAIS-GEREX'!$A$3:$A$445," ")</f>
        <v>Alto Uruguai Catarinense e Centro Oeste</v>
      </c>
      <c r="L50" s="81"/>
      <c r="M50" s="117">
        <f>Tabela2[[#This Row],[VALOR VSC PERCURSO]]+Tabela2[[#This Row],[VALOR ]]</f>
        <v>464.96000000000004</v>
      </c>
    </row>
    <row r="51" spans="1:13" ht="15.75" customHeight="1" x14ac:dyDescent="0.25">
      <c r="A51" s="8">
        <v>53</v>
      </c>
      <c r="B51" s="10" t="s">
        <v>209</v>
      </c>
      <c r="C51" s="10">
        <v>914</v>
      </c>
      <c r="D51" s="10">
        <v>8243</v>
      </c>
      <c r="E51" s="10">
        <v>25318</v>
      </c>
      <c r="F51" s="57">
        <v>336272</v>
      </c>
      <c r="G51" s="10" t="s">
        <v>9</v>
      </c>
      <c r="H51" s="16">
        <v>74.94</v>
      </c>
      <c r="I51" s="50">
        <v>157.54</v>
      </c>
      <c r="J51" s="61">
        <f t="shared" si="6"/>
        <v>232.48</v>
      </c>
      <c r="K51" s="67" t="str">
        <f>_xlfn.XLOOKUP(C51,'REGIONAIS-GEREX'!$C$3:$C$445,'REGIONAIS-GEREX'!$A$3:$A$445," ")</f>
        <v>GEFAN - Centro Norte e Centro Oeste</v>
      </c>
      <c r="L51" s="81"/>
      <c r="M51" s="117">
        <f>Tabela2[[#This Row],[VALOR VSC PERCURSO]]+Tabela2[[#This Row],[VALOR ]]</f>
        <v>232.48</v>
      </c>
    </row>
    <row r="52" spans="1:13" ht="15.75" customHeight="1" x14ac:dyDescent="0.25">
      <c r="A52" s="8">
        <v>54</v>
      </c>
      <c r="B52" s="11" t="s">
        <v>24</v>
      </c>
      <c r="C52" s="11"/>
      <c r="D52" s="11"/>
      <c r="E52" s="11"/>
      <c r="F52" s="58">
        <v>336199</v>
      </c>
      <c r="G52" s="11" t="s">
        <v>9</v>
      </c>
      <c r="H52" s="16">
        <v>236.1</v>
      </c>
      <c r="I52" s="50">
        <v>228.86</v>
      </c>
      <c r="J52" s="61"/>
      <c r="K52" s="67" t="str">
        <f>_xlfn.XLOOKUP(C52,'REGIONAIS-GEREX'!$C$3:$C$445,'REGIONAIS-GEREX'!$A$3:$A$445," ")</f>
        <v xml:space="preserve"> </v>
      </c>
      <c r="L52" s="81"/>
      <c r="M52" s="117">
        <f>Tabela2[[#This Row],[VALOR VSC PERCURSO]]+Tabela2[[#This Row],[VALOR ]]</f>
        <v>464.96000000000004</v>
      </c>
    </row>
    <row r="53" spans="1:13" ht="15.75" customHeight="1" x14ac:dyDescent="0.25">
      <c r="A53" s="8">
        <v>55</v>
      </c>
      <c r="B53" s="10" t="s">
        <v>25</v>
      </c>
      <c r="C53" s="10">
        <v>222</v>
      </c>
      <c r="D53" s="10">
        <v>8144</v>
      </c>
      <c r="E53" s="10">
        <v>25318</v>
      </c>
      <c r="F53" s="58">
        <v>336199</v>
      </c>
      <c r="G53" s="11" t="s">
        <v>9</v>
      </c>
      <c r="H53" s="37">
        <f>$H$52/2</f>
        <v>118.05</v>
      </c>
      <c r="I53" s="37">
        <f>$I$52/2</f>
        <v>114.43</v>
      </c>
      <c r="J53" s="61">
        <f>SUM(H53+I53)</f>
        <v>232.48000000000002</v>
      </c>
      <c r="K53" s="67" t="str">
        <f>_xlfn.XLOOKUP(C53,'REGIONAIS-GEREX'!$C$3:$C$445,'REGIONAIS-GEREX'!$A$3:$A$445," ")</f>
        <v>Litoral Sul e Sul</v>
      </c>
      <c r="L53" s="81"/>
      <c r="M53" s="117">
        <f>Tabela2[[#This Row],[VALOR VSC PERCURSO]]+Tabela2[[#This Row],[VALOR ]]</f>
        <v>232.48000000000002</v>
      </c>
    </row>
    <row r="54" spans="1:13" ht="15.75" customHeight="1" x14ac:dyDescent="0.25">
      <c r="A54" s="8">
        <v>56</v>
      </c>
      <c r="B54" s="10" t="s">
        <v>210</v>
      </c>
      <c r="C54" s="10">
        <v>588</v>
      </c>
      <c r="D54" s="10">
        <v>8243</v>
      </c>
      <c r="E54" s="10">
        <v>25318</v>
      </c>
      <c r="F54" s="58">
        <v>336199</v>
      </c>
      <c r="G54" s="11" t="s">
        <v>9</v>
      </c>
      <c r="H54" s="37">
        <f>$H$52/2</f>
        <v>118.05</v>
      </c>
      <c r="I54" s="37">
        <f>$I$52/2</f>
        <v>114.43</v>
      </c>
      <c r="J54" s="61">
        <f>SUM(H54+I54)</f>
        <v>232.48000000000002</v>
      </c>
      <c r="K54" s="67" t="str">
        <f>_xlfn.XLOOKUP(C54,'REGIONAIS-GEREX'!$C$3:$C$445,'REGIONAIS-GEREX'!$A$3:$A$445," ")</f>
        <v>GEFAN - Sul e Sudeste</v>
      </c>
      <c r="L54" s="81"/>
      <c r="M54" s="117">
        <f>Tabela2[[#This Row],[VALOR VSC PERCURSO]]+Tabela2[[#This Row],[VALOR ]]</f>
        <v>232.48000000000002</v>
      </c>
    </row>
    <row r="55" spans="1:13" ht="15.75" customHeight="1" x14ac:dyDescent="0.25">
      <c r="A55" s="8">
        <v>57</v>
      </c>
      <c r="B55" s="11" t="s">
        <v>26</v>
      </c>
      <c r="C55" s="11"/>
      <c r="D55" s="11"/>
      <c r="E55" s="11"/>
      <c r="F55" s="58">
        <v>336180</v>
      </c>
      <c r="G55" s="11" t="s">
        <v>9</v>
      </c>
      <c r="H55" s="16">
        <v>133.06</v>
      </c>
      <c r="I55" s="50">
        <v>331.9</v>
      </c>
      <c r="J55" s="61"/>
      <c r="K55" s="67" t="str">
        <f>_xlfn.XLOOKUP(C55,'REGIONAIS-GEREX'!$C$3:$C$445,'REGIONAIS-GEREX'!$A$3:$A$445," ")</f>
        <v xml:space="preserve"> </v>
      </c>
      <c r="L55" s="81"/>
      <c r="M55" s="117">
        <f>Tabela2[[#This Row],[VALOR VSC PERCURSO]]+Tabela2[[#This Row],[VALOR ]]</f>
        <v>464.96</v>
      </c>
    </row>
    <row r="56" spans="1:13" ht="15.75" customHeight="1" x14ac:dyDescent="0.25">
      <c r="A56" s="8">
        <v>58</v>
      </c>
      <c r="B56" s="38" t="s">
        <v>27</v>
      </c>
      <c r="C56" s="38">
        <v>213</v>
      </c>
      <c r="D56" s="38">
        <v>12161</v>
      </c>
      <c r="E56" s="38">
        <v>25318</v>
      </c>
      <c r="F56" s="60">
        <v>336180</v>
      </c>
      <c r="G56" s="11" t="s">
        <v>9</v>
      </c>
      <c r="H56" s="37">
        <f>SUM(H55/100*50)</f>
        <v>66.53</v>
      </c>
      <c r="I56" s="35">
        <f>$I$55/2</f>
        <v>165.95</v>
      </c>
      <c r="J56" s="61">
        <f>SUM(H56+I56)</f>
        <v>232.48</v>
      </c>
      <c r="K56" s="67" t="str">
        <f>_xlfn.XLOOKUP(C56,'REGIONAIS-GEREX'!$C$3:$C$445,'REGIONAIS-GEREX'!$A$3:$A$445," ")</f>
        <v>Alto Uruguai Catarinense e Centro Oeste</v>
      </c>
      <c r="L56" s="81"/>
      <c r="M56" s="117">
        <f>Tabela2[[#This Row],[VALOR VSC PERCURSO]]+Tabela2[[#This Row],[VALOR ]]</f>
        <v>232.48</v>
      </c>
    </row>
    <row r="57" spans="1:13" ht="15.75" customHeight="1" x14ac:dyDescent="0.25">
      <c r="A57" s="8">
        <v>59</v>
      </c>
      <c r="B57" s="38" t="s">
        <v>28</v>
      </c>
      <c r="C57" s="38">
        <v>213</v>
      </c>
      <c r="D57" s="38">
        <v>12161</v>
      </c>
      <c r="E57" s="38">
        <v>25318</v>
      </c>
      <c r="F57" s="60">
        <v>336180</v>
      </c>
      <c r="G57" s="11" t="s">
        <v>9</v>
      </c>
      <c r="H57" s="37">
        <f>SUM(H55/100*25)</f>
        <v>33.265000000000001</v>
      </c>
      <c r="I57" s="35">
        <f>$I$55/4</f>
        <v>82.974999999999994</v>
      </c>
      <c r="J57" s="61">
        <f>SUM(H57+I57)</f>
        <v>116.24</v>
      </c>
      <c r="K57" s="67" t="str">
        <f>_xlfn.XLOOKUP(C57,'REGIONAIS-GEREX'!$C$3:$C$445,'REGIONAIS-GEREX'!$A$3:$A$445," ")</f>
        <v>Alto Uruguai Catarinense e Centro Oeste</v>
      </c>
      <c r="L57" s="81"/>
      <c r="M57" s="117">
        <f>Tabela2[[#This Row],[VALOR VSC PERCURSO]]+Tabela2[[#This Row],[VALOR ]]</f>
        <v>116.24</v>
      </c>
    </row>
    <row r="58" spans="1:13" ht="15.75" customHeight="1" x14ac:dyDescent="0.25">
      <c r="A58" s="8">
        <v>60</v>
      </c>
      <c r="B58" s="38" t="s">
        <v>28</v>
      </c>
      <c r="C58" s="38">
        <v>213</v>
      </c>
      <c r="D58" s="38">
        <v>12161</v>
      </c>
      <c r="E58" s="38">
        <v>25318</v>
      </c>
      <c r="F58" s="60">
        <v>336180</v>
      </c>
      <c r="G58" s="11" t="s">
        <v>9</v>
      </c>
      <c r="H58" s="37">
        <f>SUM(H55/100*25)</f>
        <v>33.265000000000001</v>
      </c>
      <c r="I58" s="39">
        <f>$I$55/4</f>
        <v>82.974999999999994</v>
      </c>
      <c r="J58" s="61">
        <f>SUM(H58+I58)</f>
        <v>116.24</v>
      </c>
      <c r="K58" s="67" t="str">
        <f>_xlfn.XLOOKUP(C58,'REGIONAIS-GEREX'!$C$3:$C$445,'REGIONAIS-GEREX'!$A$3:$A$445," ")</f>
        <v>Alto Uruguai Catarinense e Centro Oeste</v>
      </c>
      <c r="L58" s="81"/>
      <c r="M58" s="117">
        <f>Tabela2[[#This Row],[VALOR VSC PERCURSO]]+Tabela2[[#This Row],[VALOR ]]</f>
        <v>116.24</v>
      </c>
    </row>
    <row r="59" spans="1:13" ht="15.75" customHeight="1" x14ac:dyDescent="0.25">
      <c r="A59" s="8">
        <v>61</v>
      </c>
      <c r="B59" s="11" t="s">
        <v>29</v>
      </c>
      <c r="C59" s="11"/>
      <c r="D59" s="11"/>
      <c r="E59" s="11"/>
      <c r="F59" s="58">
        <v>336200</v>
      </c>
      <c r="G59" s="11" t="s">
        <v>9</v>
      </c>
      <c r="H59" s="16">
        <v>128.51</v>
      </c>
      <c r="I59" s="15">
        <v>103.97</v>
      </c>
      <c r="J59" s="61"/>
      <c r="K59" s="67" t="str">
        <f>_xlfn.XLOOKUP(C59,'REGIONAIS-GEREX'!$C$3:$C$445,'REGIONAIS-GEREX'!$A$3:$A$445," ")</f>
        <v xml:space="preserve"> </v>
      </c>
      <c r="L59" s="81"/>
      <c r="M59" s="117">
        <f>Tabela2[[#This Row],[VALOR VSC PERCURSO]]+Tabela2[[#This Row],[VALOR ]]</f>
        <v>232.48</v>
      </c>
    </row>
    <row r="60" spans="1:13" ht="15.75" customHeight="1" x14ac:dyDescent="0.25">
      <c r="A60" s="8">
        <v>62</v>
      </c>
      <c r="B60" s="10" t="s">
        <v>29</v>
      </c>
      <c r="C60" s="10">
        <v>261</v>
      </c>
      <c r="D60" s="10">
        <v>8144</v>
      </c>
      <c r="E60" s="10">
        <v>25318</v>
      </c>
      <c r="F60" s="58">
        <v>336200</v>
      </c>
      <c r="G60" s="11" t="s">
        <v>9</v>
      </c>
      <c r="H60" s="37">
        <f>$H$59/2</f>
        <v>64.254999999999995</v>
      </c>
      <c r="I60" s="35">
        <f>$I$59/2</f>
        <v>51.984999999999999</v>
      </c>
      <c r="J60" s="61">
        <f>SUM(H60+I60)</f>
        <v>116.24</v>
      </c>
      <c r="K60" s="67" t="str">
        <f>_xlfn.XLOOKUP(C60,'REGIONAIS-GEREX'!$C$3:$C$445,'REGIONAIS-GEREX'!$A$3:$A$445," ")</f>
        <v>Extremo Oeste e Oeste</v>
      </c>
      <c r="L60" s="81"/>
      <c r="M60" s="117">
        <f>Tabela2[[#This Row],[VALOR VSC PERCURSO]]+Tabela2[[#This Row],[VALOR ]]</f>
        <v>116.24</v>
      </c>
    </row>
    <row r="61" spans="1:13" ht="15.75" customHeight="1" x14ac:dyDescent="0.25">
      <c r="A61" s="8">
        <v>63</v>
      </c>
      <c r="B61" s="10" t="s">
        <v>29</v>
      </c>
      <c r="C61" s="10">
        <v>206</v>
      </c>
      <c r="D61" s="10">
        <v>8144</v>
      </c>
      <c r="E61" s="10">
        <v>25318</v>
      </c>
      <c r="F61" s="58">
        <v>336200</v>
      </c>
      <c r="G61" s="11" t="s">
        <v>9</v>
      </c>
      <c r="H61" s="37">
        <f>$H$59/2</f>
        <v>64.254999999999995</v>
      </c>
      <c r="I61" s="35">
        <f>$I$59/2</f>
        <v>51.984999999999999</v>
      </c>
      <c r="J61" s="61">
        <f>SUM(H61+I61)</f>
        <v>116.24</v>
      </c>
      <c r="K61" s="67" t="str">
        <f>_xlfn.XLOOKUP(C61,'REGIONAIS-GEREX'!$C$3:$C$445,'REGIONAIS-GEREX'!$A$3:$A$445," ")</f>
        <v>Extremo Oeste e Oeste</v>
      </c>
      <c r="L61" s="81"/>
      <c r="M61" s="117">
        <f>Tabela2[[#This Row],[VALOR VSC PERCURSO]]+Tabela2[[#This Row],[VALOR ]]</f>
        <v>116.24</v>
      </c>
    </row>
    <row r="62" spans="1:13" ht="15.75" customHeight="1" x14ac:dyDescent="0.25">
      <c r="A62" s="8">
        <v>64</v>
      </c>
      <c r="B62" s="10" t="s">
        <v>29</v>
      </c>
      <c r="C62" s="10">
        <v>206</v>
      </c>
      <c r="D62" s="10">
        <v>8144</v>
      </c>
      <c r="E62" s="10">
        <v>25318</v>
      </c>
      <c r="F62" s="57">
        <v>71622292</v>
      </c>
      <c r="G62" s="10" t="s">
        <v>155</v>
      </c>
      <c r="H62" s="16">
        <v>19.73</v>
      </c>
      <c r="I62" s="50">
        <v>0</v>
      </c>
      <c r="J62" s="61">
        <f>SUM(H62+I62)</f>
        <v>19.73</v>
      </c>
      <c r="K62" s="67" t="str">
        <f>_xlfn.XLOOKUP(C62,'REGIONAIS-GEREX'!$C$3:$C$445,'REGIONAIS-GEREX'!$A$3:$A$445," ")</f>
        <v>Extremo Oeste e Oeste</v>
      </c>
      <c r="L62" s="81"/>
      <c r="M62" s="117">
        <f>Tabela2[[#This Row],[VALOR VSC PERCURSO]]+Tabela2[[#This Row],[VALOR ]]</f>
        <v>19.73</v>
      </c>
    </row>
    <row r="63" spans="1:13" ht="15.75" customHeight="1" x14ac:dyDescent="0.25">
      <c r="A63" s="8">
        <v>65</v>
      </c>
      <c r="B63" s="10" t="s">
        <v>160</v>
      </c>
      <c r="C63" s="10">
        <v>221</v>
      </c>
      <c r="D63" s="10">
        <v>8144</v>
      </c>
      <c r="E63" s="10">
        <v>25318</v>
      </c>
      <c r="F63" s="57">
        <v>337896</v>
      </c>
      <c r="G63" s="10" t="s">
        <v>9</v>
      </c>
      <c r="H63" s="16">
        <v>361.96</v>
      </c>
      <c r="I63" s="96">
        <v>103</v>
      </c>
      <c r="J63" s="61">
        <f>SUM(H63+I63)</f>
        <v>464.96</v>
      </c>
      <c r="K63" s="67" t="str">
        <f>_xlfn.XLOOKUP(C63,'REGIONAIS-GEREX'!$C$3:$C$445,'REGIONAIS-GEREX'!$A$3:$A$445," ")</f>
        <v>Planalto Norte e Vale do Itapocu</v>
      </c>
      <c r="L63" s="81"/>
      <c r="M63" s="117">
        <f>Tabela2[[#This Row],[VALOR VSC PERCURSO]]+Tabela2[[#This Row],[VALOR ]]</f>
        <v>464.96</v>
      </c>
    </row>
    <row r="64" spans="1:13" ht="15.75" customHeight="1" x14ac:dyDescent="0.25">
      <c r="A64" s="8">
        <v>66</v>
      </c>
      <c r="B64" s="11" t="s">
        <v>30</v>
      </c>
      <c r="C64" s="11"/>
      <c r="D64" s="11"/>
      <c r="E64" s="11"/>
      <c r="F64" s="58">
        <v>336205</v>
      </c>
      <c r="G64" s="11" t="s">
        <v>9</v>
      </c>
      <c r="H64" s="16">
        <v>457.8</v>
      </c>
      <c r="I64" s="97">
        <v>704.6</v>
      </c>
      <c r="J64" s="61"/>
      <c r="K64" s="67" t="str">
        <f>_xlfn.XLOOKUP(C64,'REGIONAIS-GEREX'!$C$3:$C$445,'REGIONAIS-GEREX'!$A$3:$A$445," ")</f>
        <v xml:space="preserve"> </v>
      </c>
      <c r="L64" s="81"/>
      <c r="M64" s="117">
        <f>Tabela2[[#This Row],[VALOR VSC PERCURSO]]+Tabela2[[#This Row],[VALOR ]]</f>
        <v>1162.4000000000001</v>
      </c>
    </row>
    <row r="65" spans="1:13" ht="15.75" customHeight="1" x14ac:dyDescent="0.25">
      <c r="A65" s="8">
        <v>67</v>
      </c>
      <c r="B65" s="9" t="s">
        <v>649</v>
      </c>
      <c r="C65" s="9">
        <v>515</v>
      </c>
      <c r="D65" s="9">
        <v>8243</v>
      </c>
      <c r="E65" s="9">
        <v>25318</v>
      </c>
      <c r="F65" s="58">
        <v>336205</v>
      </c>
      <c r="G65" s="11" t="s">
        <v>9</v>
      </c>
      <c r="H65" s="35">
        <f>$H$64*0.2</f>
        <v>91.56</v>
      </c>
      <c r="I65" s="35">
        <f>$I$64*0.2</f>
        <v>140.92000000000002</v>
      </c>
      <c r="J65" s="61">
        <f t="shared" ref="J65:J77" si="7">SUM(H65+I65)</f>
        <v>232.48000000000002</v>
      </c>
      <c r="K65" s="67" t="str">
        <f>_xlfn.XLOOKUP(C65,'REGIONAIS-GEREX'!$C$3:$C$445,'REGIONAIS-GEREX'!$A$3:$A$445," ")</f>
        <v>GEFAN - Centro Norte e Centro Oeste</v>
      </c>
      <c r="L65" s="81"/>
      <c r="M65" s="117">
        <f>Tabela2[[#This Row],[VALOR VSC PERCURSO]]+Tabela2[[#This Row],[VALOR ]]</f>
        <v>232.48000000000002</v>
      </c>
    </row>
    <row r="66" spans="1:13" ht="15.75" customHeight="1" x14ac:dyDescent="0.25">
      <c r="A66" s="8">
        <v>68</v>
      </c>
      <c r="B66" s="9" t="s">
        <v>650</v>
      </c>
      <c r="C66" s="9">
        <v>914</v>
      </c>
      <c r="D66" s="9">
        <v>8243</v>
      </c>
      <c r="E66" s="9">
        <v>25318</v>
      </c>
      <c r="F66" s="58">
        <v>336205</v>
      </c>
      <c r="G66" s="11" t="s">
        <v>9</v>
      </c>
      <c r="H66" s="35">
        <f>$H$64*0.1</f>
        <v>45.78</v>
      </c>
      <c r="I66" s="35">
        <f>$I$64*0.1</f>
        <v>70.460000000000008</v>
      </c>
      <c r="J66" s="61">
        <f t="shared" si="7"/>
        <v>116.24000000000001</v>
      </c>
      <c r="K66" s="67" t="str">
        <f>_xlfn.XLOOKUP(C66,'REGIONAIS-GEREX'!$C$3:$C$445,'REGIONAIS-GEREX'!$A$3:$A$445," ")</f>
        <v>GEFAN - Centro Norte e Centro Oeste</v>
      </c>
      <c r="L66" s="81"/>
      <c r="M66" s="117">
        <f>Tabela2[[#This Row],[VALOR VSC PERCURSO]]+Tabela2[[#This Row],[VALOR ]]</f>
        <v>116.24000000000001</v>
      </c>
    </row>
    <row r="67" spans="1:13" ht="15.75" customHeight="1" x14ac:dyDescent="0.25">
      <c r="A67" s="8">
        <v>69</v>
      </c>
      <c r="B67" s="9" t="s">
        <v>651</v>
      </c>
      <c r="C67" s="9">
        <v>516</v>
      </c>
      <c r="D67" s="9">
        <v>8243</v>
      </c>
      <c r="E67" s="9">
        <v>25318</v>
      </c>
      <c r="F67" s="58">
        <v>336205</v>
      </c>
      <c r="G67" s="11" t="s">
        <v>9</v>
      </c>
      <c r="H67" s="35">
        <f>$H$64*0.4</f>
        <v>183.12</v>
      </c>
      <c r="I67" s="35">
        <f>$I$64*0.4</f>
        <v>281.84000000000003</v>
      </c>
      <c r="J67" s="61">
        <f t="shared" si="7"/>
        <v>464.96000000000004</v>
      </c>
      <c r="K67" s="67" t="str">
        <f>_xlfn.XLOOKUP(C67,'REGIONAIS-GEREX'!$C$3:$C$445,'REGIONAIS-GEREX'!$A$3:$A$445," ")</f>
        <v>GEFAN - Centro Norte e Centro Oeste</v>
      </c>
      <c r="L67" s="81"/>
      <c r="M67" s="117">
        <f>Tabela2[[#This Row],[VALOR VSC PERCURSO]]+Tabela2[[#This Row],[VALOR ]]</f>
        <v>464.96000000000004</v>
      </c>
    </row>
    <row r="68" spans="1:13" ht="15.75" customHeight="1" x14ac:dyDescent="0.25">
      <c r="A68" s="8">
        <v>70</v>
      </c>
      <c r="B68" s="9" t="s">
        <v>652</v>
      </c>
      <c r="C68" s="9">
        <v>522</v>
      </c>
      <c r="D68" s="9">
        <v>8243</v>
      </c>
      <c r="E68" s="9">
        <v>25318</v>
      </c>
      <c r="F68" s="58">
        <v>336205</v>
      </c>
      <c r="G68" s="11" t="s">
        <v>9</v>
      </c>
      <c r="H68" s="35">
        <f>$H$64*0.3</f>
        <v>137.34</v>
      </c>
      <c r="I68" s="35">
        <f>$I$64*0.3</f>
        <v>211.38</v>
      </c>
      <c r="J68" s="61">
        <f t="shared" si="7"/>
        <v>348.72</v>
      </c>
      <c r="K68" s="67" t="str">
        <f>_xlfn.XLOOKUP(C68,'REGIONAIS-GEREX'!$C$3:$C$445,'REGIONAIS-GEREX'!$A$3:$A$445," ")</f>
        <v>GEFAN - Centro Norte e Centro Oeste</v>
      </c>
      <c r="L68" s="81"/>
      <c r="M68" s="117">
        <f>Tabela2[[#This Row],[VALOR VSC PERCURSO]]+Tabela2[[#This Row],[VALOR ]]</f>
        <v>348.72</v>
      </c>
    </row>
    <row r="69" spans="1:13" ht="15.75" customHeight="1" x14ac:dyDescent="0.25">
      <c r="A69" s="8">
        <v>71</v>
      </c>
      <c r="B69" s="10" t="s">
        <v>159</v>
      </c>
      <c r="C69" s="10">
        <v>204</v>
      </c>
      <c r="D69" s="10">
        <v>8144</v>
      </c>
      <c r="E69" s="10">
        <v>25318</v>
      </c>
      <c r="F69" s="57">
        <v>10311030</v>
      </c>
      <c r="G69" s="10" t="s">
        <v>9</v>
      </c>
      <c r="H69" s="33">
        <v>173.42</v>
      </c>
      <c r="I69" s="92">
        <v>291.54000000000002</v>
      </c>
      <c r="J69" s="61">
        <f t="shared" si="7"/>
        <v>464.96000000000004</v>
      </c>
      <c r="K69" s="67" t="str">
        <f>_xlfn.XLOOKUP(C69,'REGIONAIS-GEREX'!$C$3:$C$445,'REGIONAIS-GEREX'!$A$3:$A$445," ")</f>
        <v>Centro Norte</v>
      </c>
      <c r="L69" s="81"/>
      <c r="M69" s="117">
        <f>Tabela2[[#This Row],[VALOR VSC PERCURSO]]+Tabela2[[#This Row],[VALOR ]]</f>
        <v>464.96000000000004</v>
      </c>
    </row>
    <row r="70" spans="1:13" ht="15.75" customHeight="1" x14ac:dyDescent="0.25">
      <c r="A70" s="8">
        <v>72</v>
      </c>
      <c r="B70" s="10" t="s">
        <v>653</v>
      </c>
      <c r="C70" s="10">
        <v>927</v>
      </c>
      <c r="D70" s="10">
        <v>8243</v>
      </c>
      <c r="E70" s="10">
        <v>25318</v>
      </c>
      <c r="F70" s="57">
        <v>10439661</v>
      </c>
      <c r="G70" s="10" t="s">
        <v>154</v>
      </c>
      <c r="H70" s="33">
        <v>128.97999999999999</v>
      </c>
      <c r="I70" s="92">
        <v>335.98</v>
      </c>
      <c r="J70" s="61">
        <f t="shared" si="7"/>
        <v>464.96000000000004</v>
      </c>
      <c r="K70" s="67" t="str">
        <f>_xlfn.XLOOKUP(C70,'REGIONAIS-GEREX'!$C$3:$C$445,'REGIONAIS-GEREX'!$A$3:$A$445," ")</f>
        <v>GEFAN - Vale e Foz do Rio Itajaí</v>
      </c>
      <c r="L70" s="81"/>
      <c r="M70" s="117">
        <f>Tabela2[[#This Row],[VALOR VSC PERCURSO]]+Tabela2[[#This Row],[VALOR ]]</f>
        <v>464.96000000000004</v>
      </c>
    </row>
    <row r="71" spans="1:13" ht="15.75" customHeight="1" x14ac:dyDescent="0.25">
      <c r="A71" s="8">
        <v>78</v>
      </c>
      <c r="B71" s="10" t="s">
        <v>31</v>
      </c>
      <c r="C71" s="10">
        <v>805</v>
      </c>
      <c r="D71" s="10">
        <v>8264</v>
      </c>
      <c r="E71" s="10">
        <v>25318</v>
      </c>
      <c r="F71" s="57">
        <v>67982590</v>
      </c>
      <c r="G71" s="10" t="s">
        <v>71</v>
      </c>
      <c r="H71" s="16">
        <v>303.7</v>
      </c>
      <c r="I71" s="50">
        <v>0</v>
      </c>
      <c r="J71" s="61">
        <f t="shared" si="7"/>
        <v>303.7</v>
      </c>
      <c r="K71" s="67" t="str">
        <f>_xlfn.XLOOKUP(C71,'REGIONAIS-GEREX'!$C$3:$C$445,'REGIONAIS-GEREX'!$A$3:$A$445," ")</f>
        <v>GEFAN - SAFE</v>
      </c>
      <c r="L71" s="81"/>
      <c r="M71" s="117">
        <f>Tabela2[[#This Row],[VALOR VSC PERCURSO]]+Tabela2[[#This Row],[VALOR ]]</f>
        <v>303.7</v>
      </c>
    </row>
    <row r="72" spans="1:13" ht="15.75" customHeight="1" x14ac:dyDescent="0.25">
      <c r="A72" s="8">
        <v>80</v>
      </c>
      <c r="B72" s="10" t="s">
        <v>34</v>
      </c>
      <c r="C72" s="10">
        <v>209</v>
      </c>
      <c r="D72" s="10">
        <v>8144</v>
      </c>
      <c r="E72" s="10">
        <v>25318</v>
      </c>
      <c r="F72" s="57">
        <v>67982913</v>
      </c>
      <c r="G72" s="10" t="s">
        <v>71</v>
      </c>
      <c r="H72" s="33">
        <v>37.92</v>
      </c>
      <c r="I72" s="50">
        <v>0</v>
      </c>
      <c r="J72" s="61">
        <f t="shared" si="7"/>
        <v>37.92</v>
      </c>
      <c r="K72" s="67" t="str">
        <f>_xlfn.XLOOKUP(C72,'REGIONAIS-GEREX'!$C$3:$C$445,'REGIONAIS-GEREX'!$A$3:$A$445," ")</f>
        <v>Sudeste</v>
      </c>
      <c r="L72" s="81"/>
      <c r="M72" s="117">
        <f>Tabela2[[#This Row],[VALOR VSC PERCURSO]]+Tabela2[[#This Row],[VALOR ]]</f>
        <v>37.92</v>
      </c>
    </row>
    <row r="73" spans="1:13" ht="15.75" customHeight="1" x14ac:dyDescent="0.25">
      <c r="A73" s="8">
        <v>81</v>
      </c>
      <c r="B73" s="10" t="s">
        <v>32</v>
      </c>
      <c r="C73" s="10">
        <v>202</v>
      </c>
      <c r="D73" s="10">
        <v>8144</v>
      </c>
      <c r="E73" s="10">
        <v>25318</v>
      </c>
      <c r="F73" s="57">
        <v>67982867</v>
      </c>
      <c r="G73" s="10" t="s">
        <v>71</v>
      </c>
      <c r="H73" s="33">
        <v>38.020000000000003</v>
      </c>
      <c r="I73" s="50">
        <v>0</v>
      </c>
      <c r="J73" s="61">
        <f t="shared" si="7"/>
        <v>38.020000000000003</v>
      </c>
      <c r="K73" s="67" t="str">
        <f>_xlfn.XLOOKUP(C73,'REGIONAIS-GEREX'!$C$3:$C$445,'REGIONAIS-GEREX'!$A$3:$A$445," ")</f>
        <v>Vale do Itajaí</v>
      </c>
      <c r="L73" s="81"/>
      <c r="M73" s="117">
        <f>Tabela2[[#This Row],[VALOR VSC PERCURSO]]+Tabela2[[#This Row],[VALOR ]]</f>
        <v>38.020000000000003</v>
      </c>
    </row>
    <row r="74" spans="1:13" ht="15.75" customHeight="1" x14ac:dyDescent="0.25">
      <c r="A74" s="8">
        <v>84</v>
      </c>
      <c r="B74" s="10" t="s">
        <v>33</v>
      </c>
      <c r="C74" s="10">
        <v>204</v>
      </c>
      <c r="D74" s="10">
        <v>8144</v>
      </c>
      <c r="E74" s="10">
        <v>25318</v>
      </c>
      <c r="F74" s="57">
        <v>67982883</v>
      </c>
      <c r="G74" s="10" t="s">
        <v>71</v>
      </c>
      <c r="H74" s="33">
        <v>19.03</v>
      </c>
      <c r="I74" s="50">
        <v>0</v>
      </c>
      <c r="J74" s="61">
        <f t="shared" si="7"/>
        <v>19.03</v>
      </c>
      <c r="K74" s="67" t="str">
        <f>_xlfn.XLOOKUP(C74,'REGIONAIS-GEREX'!$C$3:$C$445,'REGIONAIS-GEREX'!$A$3:$A$445," ")</f>
        <v>Centro Norte</v>
      </c>
      <c r="L74" s="81"/>
      <c r="M74" s="117">
        <f>Tabela2[[#This Row],[VALOR VSC PERCURSO]]+Tabela2[[#This Row],[VALOR ]]</f>
        <v>19.03</v>
      </c>
    </row>
    <row r="75" spans="1:13" ht="15.75" customHeight="1" x14ac:dyDescent="0.25">
      <c r="A75" s="8">
        <v>85</v>
      </c>
      <c r="B75" s="9" t="s">
        <v>35</v>
      </c>
      <c r="C75" s="9">
        <v>213</v>
      </c>
      <c r="D75" s="9">
        <v>8144</v>
      </c>
      <c r="E75" s="9">
        <v>25318</v>
      </c>
      <c r="F75" s="59">
        <v>67982948</v>
      </c>
      <c r="G75" s="9" t="s">
        <v>71</v>
      </c>
      <c r="H75" s="33">
        <v>33.200000000000003</v>
      </c>
      <c r="I75" s="50">
        <v>0</v>
      </c>
      <c r="J75" s="61">
        <f t="shared" si="7"/>
        <v>33.200000000000003</v>
      </c>
      <c r="K75" s="67" t="str">
        <f>_xlfn.XLOOKUP(C75,'REGIONAIS-GEREX'!$C$3:$C$445,'REGIONAIS-GEREX'!$A$3:$A$445," ")</f>
        <v>Alto Uruguai Catarinense e Centro Oeste</v>
      </c>
      <c r="L75" s="81"/>
      <c r="M75" s="117">
        <f>Tabela2[[#This Row],[VALOR VSC PERCURSO]]+Tabela2[[#This Row],[VALOR ]]</f>
        <v>33.200000000000003</v>
      </c>
    </row>
    <row r="76" spans="1:13" ht="15.75" customHeight="1" x14ac:dyDescent="0.25">
      <c r="A76" s="8">
        <v>86</v>
      </c>
      <c r="B76" s="9" t="s">
        <v>36</v>
      </c>
      <c r="C76" s="9">
        <v>214</v>
      </c>
      <c r="D76" s="9">
        <v>8144</v>
      </c>
      <c r="E76" s="9">
        <v>25318</v>
      </c>
      <c r="F76" s="59">
        <v>67982956</v>
      </c>
      <c r="G76" s="9" t="s">
        <v>71</v>
      </c>
      <c r="H76" s="33">
        <v>6046.76</v>
      </c>
      <c r="I76" s="50">
        <v>0</v>
      </c>
      <c r="J76" s="61">
        <f t="shared" si="7"/>
        <v>6046.76</v>
      </c>
      <c r="K76" s="67" t="str">
        <f>_xlfn.XLOOKUP(C76,'REGIONAIS-GEREX'!$C$3:$C$445,'REGIONAIS-GEREX'!$A$3:$A$445," ")</f>
        <v>Norte Nordeste</v>
      </c>
      <c r="L76" s="81"/>
      <c r="M76" s="117">
        <f>Tabela2[[#This Row],[VALOR VSC PERCURSO]]+Tabela2[[#This Row],[VALOR ]]</f>
        <v>6046.76</v>
      </c>
    </row>
    <row r="77" spans="1:13" ht="15.75" customHeight="1" x14ac:dyDescent="0.25">
      <c r="A77" s="8">
        <v>87</v>
      </c>
      <c r="B77" s="10" t="s">
        <v>37</v>
      </c>
      <c r="C77" s="10">
        <v>215</v>
      </c>
      <c r="D77" s="10">
        <v>8144</v>
      </c>
      <c r="E77" s="10">
        <v>25318</v>
      </c>
      <c r="F77" s="57">
        <v>67982964</v>
      </c>
      <c r="G77" s="10" t="s">
        <v>71</v>
      </c>
      <c r="H77" s="33">
        <v>18.62</v>
      </c>
      <c r="I77" s="50">
        <v>0</v>
      </c>
      <c r="J77" s="61">
        <f t="shared" si="7"/>
        <v>18.62</v>
      </c>
      <c r="K77" s="67" t="str">
        <f>_xlfn.XLOOKUP(C77,'REGIONAIS-GEREX'!$C$3:$C$445,'REGIONAIS-GEREX'!$A$3:$A$445," ")</f>
        <v>Serra Catarinense</v>
      </c>
      <c r="L77" s="81"/>
      <c r="M77" s="117">
        <f>Tabela2[[#This Row],[VALOR VSC PERCURSO]]+Tabela2[[#This Row],[VALOR ]]</f>
        <v>18.62</v>
      </c>
    </row>
    <row r="78" spans="1:13" ht="15.75" customHeight="1" x14ac:dyDescent="0.25">
      <c r="A78" s="8">
        <v>89</v>
      </c>
      <c r="B78" s="10" t="s">
        <v>169</v>
      </c>
      <c r="C78" s="10">
        <v>221</v>
      </c>
      <c r="D78" s="10">
        <v>8144</v>
      </c>
      <c r="E78" s="10">
        <v>25318</v>
      </c>
      <c r="F78" s="57">
        <v>67982999</v>
      </c>
      <c r="G78" s="10" t="s">
        <v>71</v>
      </c>
      <c r="H78" s="33">
        <v>190.19</v>
      </c>
      <c r="I78" s="50">
        <v>0</v>
      </c>
      <c r="J78" s="61">
        <v>159.93</v>
      </c>
      <c r="K78" s="67" t="str">
        <f>_xlfn.XLOOKUP(C78,'REGIONAIS-GEREX'!$C$3:$C$445,'REGIONAIS-GEREX'!$A$3:$A$445," ")</f>
        <v>Planalto Norte e Vale do Itapocu</v>
      </c>
      <c r="L78" s="105">
        <v>30.26</v>
      </c>
      <c r="M78" s="117">
        <f>Tabela2[[#This Row],[VALOR VSC PERCURSO]]+Tabela2[[#This Row],[VALOR ]]</f>
        <v>190.19</v>
      </c>
    </row>
    <row r="79" spans="1:13" ht="15.75" customHeight="1" x14ac:dyDescent="0.25">
      <c r="A79" s="8">
        <v>92</v>
      </c>
      <c r="B79" s="10" t="s">
        <v>38</v>
      </c>
      <c r="C79" s="10">
        <v>223</v>
      </c>
      <c r="D79" s="10">
        <v>8144</v>
      </c>
      <c r="E79" s="10">
        <v>25318</v>
      </c>
      <c r="F79" s="57">
        <v>67983014</v>
      </c>
      <c r="G79" s="10" t="s">
        <v>71</v>
      </c>
      <c r="H79" s="33">
        <v>134.99</v>
      </c>
      <c r="I79" s="50">
        <v>0</v>
      </c>
      <c r="J79" s="61">
        <f t="shared" ref="J79:J90" si="8">SUM(H79+I79)</f>
        <v>134.99</v>
      </c>
      <c r="K79" s="67" t="str">
        <f>_xlfn.XLOOKUP(C79,'REGIONAIS-GEREX'!$C$3:$C$445,'REGIONAIS-GEREX'!$A$3:$A$445," ")</f>
        <v>Centro Norte</v>
      </c>
      <c r="L79" s="81"/>
      <c r="M79" s="117">
        <f>Tabela2[[#This Row],[VALOR VSC PERCURSO]]+Tabela2[[#This Row],[VALOR ]]</f>
        <v>134.99</v>
      </c>
    </row>
    <row r="80" spans="1:13" ht="15.75" customHeight="1" x14ac:dyDescent="0.25">
      <c r="A80" s="8">
        <v>94</v>
      </c>
      <c r="B80" s="10" t="s">
        <v>39</v>
      </c>
      <c r="C80" s="10">
        <v>205</v>
      </c>
      <c r="D80" s="10">
        <v>8144</v>
      </c>
      <c r="E80" s="10">
        <v>25318</v>
      </c>
      <c r="F80" s="57">
        <v>67983030</v>
      </c>
      <c r="G80" s="10" t="s">
        <v>71</v>
      </c>
      <c r="H80" s="33">
        <v>82.42</v>
      </c>
      <c r="I80" s="50">
        <v>0</v>
      </c>
      <c r="J80" s="61">
        <f t="shared" si="8"/>
        <v>82.42</v>
      </c>
      <c r="K80" s="67" t="str">
        <f>_xlfn.XLOOKUP(C80,'REGIONAIS-GEREX'!$C$3:$C$445,'REGIONAIS-GEREX'!$A$3:$A$445," ")</f>
        <v>Centro Norte</v>
      </c>
      <c r="L80" s="81"/>
      <c r="M80" s="117">
        <f>Tabela2[[#This Row],[VALOR VSC PERCURSO]]+Tabela2[[#This Row],[VALOR ]]</f>
        <v>82.42</v>
      </c>
    </row>
    <row r="81" spans="1:13" ht="15.75" customHeight="1" x14ac:dyDescent="0.25">
      <c r="A81" s="8">
        <v>96</v>
      </c>
      <c r="B81" s="10" t="s">
        <v>40</v>
      </c>
      <c r="C81" s="10">
        <v>207</v>
      </c>
      <c r="D81" s="10">
        <v>8144</v>
      </c>
      <c r="E81" s="10">
        <v>25318</v>
      </c>
      <c r="F81" s="57">
        <v>67983049</v>
      </c>
      <c r="G81" s="10" t="s">
        <v>71</v>
      </c>
      <c r="H81" s="33">
        <v>41.21</v>
      </c>
      <c r="I81" s="50">
        <v>0</v>
      </c>
      <c r="J81" s="61">
        <f t="shared" si="8"/>
        <v>41.21</v>
      </c>
      <c r="K81" s="67" t="str">
        <f>_xlfn.XLOOKUP(C81,'REGIONAIS-GEREX'!$C$3:$C$445,'REGIONAIS-GEREX'!$A$3:$A$445," ")</f>
        <v>Alto Uruguai Catarinense e Centro Oeste</v>
      </c>
      <c r="L81" s="81"/>
      <c r="M81" s="117">
        <f>Tabela2[[#This Row],[VALOR VSC PERCURSO]]+Tabela2[[#This Row],[VALOR ]]</f>
        <v>41.21</v>
      </c>
    </row>
    <row r="82" spans="1:13" ht="15.75" customHeight="1" x14ac:dyDescent="0.25">
      <c r="A82" s="8">
        <v>97</v>
      </c>
      <c r="B82" s="10" t="s">
        <v>41</v>
      </c>
      <c r="C82" s="10">
        <v>229</v>
      </c>
      <c r="D82" s="10">
        <v>8144</v>
      </c>
      <c r="E82" s="10">
        <v>25318</v>
      </c>
      <c r="F82" s="57">
        <v>67983065</v>
      </c>
      <c r="G82" s="10" t="s">
        <v>71</v>
      </c>
      <c r="H82" s="33">
        <v>40.51</v>
      </c>
      <c r="I82" s="50">
        <v>0</v>
      </c>
      <c r="J82" s="61">
        <f t="shared" si="8"/>
        <v>40.51</v>
      </c>
      <c r="K82" s="67" t="str">
        <f>_xlfn.XLOOKUP(C82,'REGIONAIS-GEREX'!$C$3:$C$445,'REGIONAIS-GEREX'!$A$3:$A$445," ")</f>
        <v>Extremo Oeste e Oeste</v>
      </c>
      <c r="L82" s="81"/>
      <c r="M82" s="117">
        <f>Tabela2[[#This Row],[VALOR VSC PERCURSO]]+Tabela2[[#This Row],[VALOR ]]</f>
        <v>40.51</v>
      </c>
    </row>
    <row r="83" spans="1:13" ht="15.75" customHeight="1" x14ac:dyDescent="0.25">
      <c r="A83" s="8">
        <v>102</v>
      </c>
      <c r="B83" s="10" t="s">
        <v>42</v>
      </c>
      <c r="C83" s="10">
        <v>865</v>
      </c>
      <c r="D83" s="10">
        <v>8264</v>
      </c>
      <c r="E83" s="10">
        <v>25318</v>
      </c>
      <c r="F83" s="57">
        <v>67983570</v>
      </c>
      <c r="G83" s="10" t="s">
        <v>71</v>
      </c>
      <c r="H83" s="16">
        <v>25.63</v>
      </c>
      <c r="I83" s="50">
        <v>0</v>
      </c>
      <c r="J83" s="61">
        <f t="shared" si="8"/>
        <v>25.63</v>
      </c>
      <c r="K83" s="67" t="str">
        <f>_xlfn.XLOOKUP(C83,'REGIONAIS-GEREX'!$C$3:$C$445,'REGIONAIS-GEREX'!$A$3:$A$445," ")</f>
        <v>GEFAN - SAFE</v>
      </c>
      <c r="L83" s="81"/>
      <c r="M83" s="117">
        <f>Tabela2[[#This Row],[VALOR VSC PERCURSO]]+Tabela2[[#This Row],[VALOR ]]</f>
        <v>25.63</v>
      </c>
    </row>
    <row r="84" spans="1:13" ht="15.75" customHeight="1" x14ac:dyDescent="0.25">
      <c r="A84" s="8">
        <v>103</v>
      </c>
      <c r="B84" s="9" t="s">
        <v>43</v>
      </c>
      <c r="C84" s="9">
        <v>219</v>
      </c>
      <c r="D84" s="9">
        <v>8144</v>
      </c>
      <c r="E84" s="9">
        <v>25318</v>
      </c>
      <c r="F84" s="59">
        <v>67983596</v>
      </c>
      <c r="G84" s="10" t="s">
        <v>71</v>
      </c>
      <c r="H84" s="16">
        <v>141.05000000000001</v>
      </c>
      <c r="I84" s="50">
        <v>0</v>
      </c>
      <c r="J84" s="61">
        <f t="shared" si="8"/>
        <v>141.05000000000001</v>
      </c>
      <c r="K84" s="67" t="str">
        <f>_xlfn.XLOOKUP(C84,'REGIONAIS-GEREX'!$C$3:$C$445,'REGIONAIS-GEREX'!$A$3:$A$445," ")</f>
        <v>Alto Vale do Itajaí</v>
      </c>
      <c r="L84" s="81"/>
      <c r="M84" s="117">
        <f>Tabela2[[#This Row],[VALOR VSC PERCURSO]]+Tabela2[[#This Row],[VALOR ]]</f>
        <v>141.05000000000001</v>
      </c>
    </row>
    <row r="85" spans="1:13" ht="15.75" customHeight="1" x14ac:dyDescent="0.25">
      <c r="A85" s="8">
        <v>104</v>
      </c>
      <c r="B85" s="10" t="s">
        <v>44</v>
      </c>
      <c r="C85" s="10">
        <v>222</v>
      </c>
      <c r="D85" s="10">
        <v>8144</v>
      </c>
      <c r="E85" s="10">
        <v>25318</v>
      </c>
      <c r="F85" s="57">
        <v>67983685</v>
      </c>
      <c r="G85" s="10" t="s">
        <v>71</v>
      </c>
      <c r="H85" s="33">
        <v>39.89</v>
      </c>
      <c r="I85" s="50">
        <v>0</v>
      </c>
      <c r="J85" s="61">
        <f t="shared" si="8"/>
        <v>39.89</v>
      </c>
      <c r="K85" s="67" t="str">
        <f>_xlfn.XLOOKUP(C85,'REGIONAIS-GEREX'!$C$3:$C$445,'REGIONAIS-GEREX'!$A$3:$A$445," ")</f>
        <v>Litoral Sul e Sul</v>
      </c>
      <c r="L85" s="81"/>
      <c r="M85" s="117">
        <f>Tabela2[[#This Row],[VALOR VSC PERCURSO]]+Tabela2[[#This Row],[VALOR ]]</f>
        <v>39.89</v>
      </c>
    </row>
    <row r="86" spans="1:13" ht="15.75" customHeight="1" x14ac:dyDescent="0.25">
      <c r="A86" s="8">
        <v>105</v>
      </c>
      <c r="B86" s="10" t="s">
        <v>161</v>
      </c>
      <c r="C86" s="10">
        <v>212</v>
      </c>
      <c r="D86" s="10">
        <v>8144</v>
      </c>
      <c r="E86" s="10">
        <v>25318</v>
      </c>
      <c r="F86" s="57">
        <v>67983693</v>
      </c>
      <c r="G86" s="10" t="s">
        <v>71</v>
      </c>
      <c r="H86" s="33">
        <v>24.88</v>
      </c>
      <c r="I86" s="50">
        <v>0</v>
      </c>
      <c r="J86" s="61">
        <f t="shared" si="8"/>
        <v>24.88</v>
      </c>
      <c r="K86" s="67" t="str">
        <f>_xlfn.XLOOKUP(C86,'REGIONAIS-GEREX'!$C$3:$C$445,'REGIONAIS-GEREX'!$A$3:$A$445," ")</f>
        <v>Planalto Norte e Vale do Itapocu</v>
      </c>
      <c r="L86" s="81"/>
      <c r="M86" s="117">
        <f>Tabela2[[#This Row],[VALOR VSC PERCURSO]]+Tabela2[[#This Row],[VALOR ]]</f>
        <v>24.88</v>
      </c>
    </row>
    <row r="87" spans="1:13" ht="15.75" customHeight="1" x14ac:dyDescent="0.25">
      <c r="A87" s="8">
        <v>108</v>
      </c>
      <c r="B87" s="10" t="s">
        <v>45</v>
      </c>
      <c r="C87" s="10">
        <v>861</v>
      </c>
      <c r="D87" s="10">
        <v>8264</v>
      </c>
      <c r="E87" s="10">
        <v>25318</v>
      </c>
      <c r="F87" s="57">
        <v>67983782</v>
      </c>
      <c r="G87" s="10" t="s">
        <v>71</v>
      </c>
      <c r="H87" s="15">
        <v>42.38</v>
      </c>
      <c r="I87" s="50">
        <v>0</v>
      </c>
      <c r="J87" s="61">
        <f t="shared" si="8"/>
        <v>42.38</v>
      </c>
      <c r="K87" s="67" t="str">
        <f>_xlfn.XLOOKUP(C87,'REGIONAIS-GEREX'!$C$3:$C$445,'REGIONAIS-GEREX'!$A$3:$A$445," ")</f>
        <v>GEFAN - SAFE</v>
      </c>
      <c r="L87" s="81"/>
      <c r="M87" s="117">
        <f>Tabela2[[#This Row],[VALOR VSC PERCURSO]]+Tabela2[[#This Row],[VALOR ]]</f>
        <v>42.38</v>
      </c>
    </row>
    <row r="88" spans="1:13" ht="15.75" customHeight="1" x14ac:dyDescent="0.25">
      <c r="A88" s="8">
        <v>110</v>
      </c>
      <c r="B88" s="10" t="s">
        <v>46</v>
      </c>
      <c r="C88" s="10">
        <v>804</v>
      </c>
      <c r="D88" s="10">
        <v>8264</v>
      </c>
      <c r="E88" s="10">
        <v>25318</v>
      </c>
      <c r="F88" s="57">
        <v>67983812</v>
      </c>
      <c r="G88" s="10" t="s">
        <v>71</v>
      </c>
      <c r="H88" s="33">
        <v>81.239999999999995</v>
      </c>
      <c r="I88" s="50">
        <v>0</v>
      </c>
      <c r="J88" s="61">
        <f t="shared" si="8"/>
        <v>81.239999999999995</v>
      </c>
      <c r="K88" s="67" t="str">
        <f>_xlfn.XLOOKUP(C88,'REGIONAIS-GEREX'!$C$3:$C$445,'REGIONAIS-GEREX'!$A$3:$A$445," ")</f>
        <v>GEFAN - SAFE</v>
      </c>
      <c r="L88" s="81"/>
      <c r="M88" s="117">
        <f>Tabela2[[#This Row],[VALOR VSC PERCURSO]]+Tabela2[[#This Row],[VALOR ]]</f>
        <v>81.239999999999995</v>
      </c>
    </row>
    <row r="89" spans="1:13" ht="15.75" customHeight="1" x14ac:dyDescent="0.25">
      <c r="A89" s="8">
        <v>112</v>
      </c>
      <c r="B89" s="10" t="s">
        <v>47</v>
      </c>
      <c r="C89" s="10">
        <v>208</v>
      </c>
      <c r="D89" s="10">
        <v>8144</v>
      </c>
      <c r="E89" s="10">
        <v>25318</v>
      </c>
      <c r="F89" s="57">
        <v>67983251</v>
      </c>
      <c r="G89" s="10" t="s">
        <v>71</v>
      </c>
      <c r="H89" s="33">
        <v>21.48</v>
      </c>
      <c r="I89" s="50">
        <v>0</v>
      </c>
      <c r="J89" s="61">
        <f t="shared" si="8"/>
        <v>21.48</v>
      </c>
      <c r="K89" s="67" t="str">
        <f>_xlfn.XLOOKUP(C89,'REGIONAIS-GEREX'!$C$3:$C$445,'REGIONAIS-GEREX'!$A$3:$A$445," ")</f>
        <v>Litoral Sul e Sul</v>
      </c>
      <c r="L89" s="81"/>
      <c r="M89" s="117">
        <f>Tabela2[[#This Row],[VALOR VSC PERCURSO]]+Tabela2[[#This Row],[VALOR ]]</f>
        <v>21.48</v>
      </c>
    </row>
    <row r="90" spans="1:13" ht="15.75" customHeight="1" x14ac:dyDescent="0.25">
      <c r="A90" s="8">
        <v>113</v>
      </c>
      <c r="B90" s="10" t="s">
        <v>162</v>
      </c>
      <c r="C90" s="10">
        <v>432</v>
      </c>
      <c r="D90" s="10">
        <v>8264</v>
      </c>
      <c r="E90" s="10">
        <v>25318</v>
      </c>
      <c r="F90" s="57">
        <v>76703355</v>
      </c>
      <c r="G90" s="10" t="s">
        <v>71</v>
      </c>
      <c r="H90" s="15">
        <v>42.78</v>
      </c>
      <c r="I90" s="50">
        <v>0</v>
      </c>
      <c r="J90" s="61">
        <f t="shared" si="8"/>
        <v>42.78</v>
      </c>
      <c r="K90" s="67" t="str">
        <f>_xlfn.XLOOKUP(C90,'REGIONAIS-GEREX'!$C$3:$C$445,'REGIONAIS-GEREX'!$A$3:$A$445," ")</f>
        <v>GEFAN - Norte - Nordeste / Plan. e Vale</v>
      </c>
      <c r="L90" s="81"/>
      <c r="M90" s="117">
        <f>Tabela2[[#This Row],[VALOR VSC PERCURSO]]+Tabela2[[#This Row],[VALOR ]]</f>
        <v>42.78</v>
      </c>
    </row>
    <row r="91" spans="1:13" ht="15.75" customHeight="1" x14ac:dyDescent="0.25">
      <c r="A91" s="8">
        <v>118</v>
      </c>
      <c r="B91" s="11" t="s">
        <v>48</v>
      </c>
      <c r="C91" s="11"/>
      <c r="D91" s="41"/>
      <c r="E91" s="11"/>
      <c r="F91" s="58">
        <v>67983260</v>
      </c>
      <c r="G91" s="42" t="s">
        <v>71</v>
      </c>
      <c r="H91" s="15">
        <v>0</v>
      </c>
      <c r="I91" s="15">
        <v>0</v>
      </c>
      <c r="J91" s="61"/>
      <c r="K91" s="67" t="str">
        <f>_xlfn.XLOOKUP(C91,'REGIONAIS-GEREX'!$C$3:$C$445,'REGIONAIS-GEREX'!$A$3:$A$445," ")</f>
        <v xml:space="preserve"> </v>
      </c>
      <c r="L91" s="81"/>
      <c r="M91" s="117">
        <f>Tabela2[[#This Row],[VALOR VSC PERCURSO]]+Tabela2[[#This Row],[VALOR ]]</f>
        <v>0</v>
      </c>
    </row>
    <row r="92" spans="1:13" ht="15.75" customHeight="1" x14ac:dyDescent="0.25">
      <c r="A92" s="8">
        <v>140</v>
      </c>
      <c r="B92" s="10" t="s">
        <v>49</v>
      </c>
      <c r="C92" s="10">
        <v>219</v>
      </c>
      <c r="D92" s="10">
        <v>8144</v>
      </c>
      <c r="E92" s="10">
        <v>25318</v>
      </c>
      <c r="F92" s="57">
        <v>336267</v>
      </c>
      <c r="G92" s="10" t="s">
        <v>9</v>
      </c>
      <c r="H92" s="33">
        <v>219.79</v>
      </c>
      <c r="I92" s="50">
        <v>12.69</v>
      </c>
      <c r="J92" s="61">
        <f>SUM(H92+I92)</f>
        <v>232.48</v>
      </c>
      <c r="K92" s="67" t="str">
        <f>_xlfn.XLOOKUP(C92,'REGIONAIS-GEREX'!$C$3:$C$445,'REGIONAIS-GEREX'!$A$3:$A$445," ")</f>
        <v>Alto Vale do Itajaí</v>
      </c>
      <c r="L92" s="81"/>
      <c r="M92" s="117">
        <f>Tabela2[[#This Row],[VALOR VSC PERCURSO]]+Tabela2[[#This Row],[VALOR ]]</f>
        <v>232.48</v>
      </c>
    </row>
    <row r="93" spans="1:13" ht="15.75" customHeight="1" x14ac:dyDescent="0.25">
      <c r="A93" s="8">
        <v>142</v>
      </c>
      <c r="B93" s="10" t="s">
        <v>50</v>
      </c>
      <c r="C93" s="10">
        <v>233</v>
      </c>
      <c r="D93" s="10">
        <v>8144</v>
      </c>
      <c r="E93" s="10">
        <v>25318</v>
      </c>
      <c r="F93" s="57">
        <v>69581517</v>
      </c>
      <c r="G93" s="10" t="s">
        <v>155</v>
      </c>
      <c r="H93" s="33">
        <v>21.48</v>
      </c>
      <c r="I93" s="50">
        <v>0</v>
      </c>
      <c r="J93" s="61">
        <f>SUM(H93+I93)</f>
        <v>21.48</v>
      </c>
      <c r="K93" s="67" t="str">
        <f>_xlfn.XLOOKUP(C93,'REGIONAIS-GEREX'!$C$3:$C$445,'REGIONAIS-GEREX'!$A$3:$A$445," ")</f>
        <v>Extremo Oeste e Oeste</v>
      </c>
      <c r="L93" s="81"/>
      <c r="M93" s="117">
        <f>Tabela2[[#This Row],[VALOR VSC PERCURSO]]+Tabela2[[#This Row],[VALOR ]]</f>
        <v>21.48</v>
      </c>
    </row>
    <row r="94" spans="1:13" ht="15.75" customHeight="1" x14ac:dyDescent="0.25">
      <c r="A94" s="8">
        <v>144</v>
      </c>
      <c r="B94" s="10" t="s">
        <v>51</v>
      </c>
      <c r="C94" s="10">
        <v>221</v>
      </c>
      <c r="D94" s="10">
        <v>8144</v>
      </c>
      <c r="E94" s="10">
        <v>25318</v>
      </c>
      <c r="F94" s="57">
        <v>10356487</v>
      </c>
      <c r="G94" s="10" t="s">
        <v>9</v>
      </c>
      <c r="H94" s="33">
        <v>415.05</v>
      </c>
      <c r="I94" s="92">
        <v>49.91</v>
      </c>
      <c r="J94" s="61">
        <f>SUM(H94+I94)</f>
        <v>464.96000000000004</v>
      </c>
      <c r="K94" s="67" t="str">
        <f>_xlfn.XLOOKUP(C94,'REGIONAIS-GEREX'!$C$3:$C$445,'REGIONAIS-GEREX'!$A$3:$A$445," ")</f>
        <v>Planalto Norte e Vale do Itapocu</v>
      </c>
      <c r="L94" s="81"/>
      <c r="M94" s="117">
        <f>Tabela2[[#This Row],[VALOR VSC PERCURSO]]+Tabela2[[#This Row],[VALOR ]]</f>
        <v>464.96000000000004</v>
      </c>
    </row>
    <row r="95" spans="1:13" ht="15.75" customHeight="1" x14ac:dyDescent="0.25">
      <c r="A95" s="8">
        <v>156</v>
      </c>
      <c r="B95" s="11" t="s">
        <v>52</v>
      </c>
      <c r="C95" s="11"/>
      <c r="D95" s="11"/>
      <c r="E95" s="11"/>
      <c r="F95" s="58">
        <v>10368178</v>
      </c>
      <c r="G95" s="11" t="s">
        <v>9</v>
      </c>
      <c r="H95" s="16">
        <v>212.08</v>
      </c>
      <c r="I95" s="92">
        <v>20.399999999999999</v>
      </c>
      <c r="J95" s="61"/>
      <c r="K95" s="67" t="str">
        <f>_xlfn.XLOOKUP(C95,'REGIONAIS-GEREX'!$C$3:$C$445,'REGIONAIS-GEREX'!$A$3:$A$445," ")</f>
        <v xml:space="preserve"> </v>
      </c>
      <c r="L95" s="81"/>
      <c r="M95" s="117">
        <f>Tabela2[[#This Row],[VALOR VSC PERCURSO]]+Tabela2[[#This Row],[VALOR ]]</f>
        <v>232.48000000000002</v>
      </c>
    </row>
    <row r="96" spans="1:13" ht="15.75" customHeight="1" x14ac:dyDescent="0.25">
      <c r="A96" s="8">
        <v>157</v>
      </c>
      <c r="B96" s="9" t="s">
        <v>53</v>
      </c>
      <c r="C96" s="9">
        <v>206</v>
      </c>
      <c r="D96" s="9">
        <v>8144</v>
      </c>
      <c r="E96" s="9">
        <v>25318</v>
      </c>
      <c r="F96" s="58">
        <v>10368178</v>
      </c>
      <c r="G96" s="11" t="s">
        <v>9</v>
      </c>
      <c r="H96" s="35">
        <f>$H$95*0.4</f>
        <v>84.832000000000008</v>
      </c>
      <c r="I96" s="35">
        <f>$I$95*0.4</f>
        <v>8.16</v>
      </c>
      <c r="J96" s="61">
        <f>SUM(H96+I96)</f>
        <v>92.992000000000004</v>
      </c>
      <c r="K96" s="67" t="str">
        <f>_xlfn.XLOOKUP(C96,'REGIONAIS-GEREX'!$C$3:$C$445,'REGIONAIS-GEREX'!$A$3:$A$445," ")</f>
        <v>Extremo Oeste e Oeste</v>
      </c>
      <c r="L96" s="81"/>
      <c r="M96" s="117">
        <f>Tabela2[[#This Row],[VALOR VSC PERCURSO]]+Tabela2[[#This Row],[VALOR ]]</f>
        <v>92.992000000000004</v>
      </c>
    </row>
    <row r="97" spans="1:13" ht="15.75" customHeight="1" x14ac:dyDescent="0.25">
      <c r="A97" s="8">
        <v>158</v>
      </c>
      <c r="B97" s="9" t="s">
        <v>54</v>
      </c>
      <c r="C97" s="9">
        <v>233</v>
      </c>
      <c r="D97" s="9">
        <v>8144</v>
      </c>
      <c r="E97" s="9">
        <v>25318</v>
      </c>
      <c r="F97" s="58">
        <v>10368178</v>
      </c>
      <c r="G97" s="11" t="s">
        <v>9</v>
      </c>
      <c r="H97" s="35">
        <f>$H$95*0.4</f>
        <v>84.832000000000008</v>
      </c>
      <c r="I97" s="35">
        <f>$I$95*0.4</f>
        <v>8.16</v>
      </c>
      <c r="J97" s="61">
        <f>SUM(H97+I97)</f>
        <v>92.992000000000004</v>
      </c>
      <c r="K97" s="67" t="str">
        <f>_xlfn.XLOOKUP(C97,'REGIONAIS-GEREX'!$C$3:$C$445,'REGIONAIS-GEREX'!$A$3:$A$445," ")</f>
        <v>Extremo Oeste e Oeste</v>
      </c>
      <c r="L97" s="81"/>
      <c r="M97" s="117">
        <f>Tabela2[[#This Row],[VALOR VSC PERCURSO]]+Tabela2[[#This Row],[VALOR ]]</f>
        <v>92.992000000000004</v>
      </c>
    </row>
    <row r="98" spans="1:13" ht="15.75" customHeight="1" x14ac:dyDescent="0.25">
      <c r="A98" s="8">
        <v>159</v>
      </c>
      <c r="B98" s="9" t="s">
        <v>55</v>
      </c>
      <c r="C98" s="9">
        <v>570</v>
      </c>
      <c r="D98" s="9">
        <v>8243</v>
      </c>
      <c r="E98" s="9">
        <v>25318</v>
      </c>
      <c r="F98" s="58">
        <v>10368178</v>
      </c>
      <c r="G98" s="11" t="s">
        <v>9</v>
      </c>
      <c r="H98" s="35">
        <f>$H$95*0.2</f>
        <v>42.416000000000004</v>
      </c>
      <c r="I98" s="35">
        <f>$I$95*0.2</f>
        <v>4.08</v>
      </c>
      <c r="J98" s="61">
        <f>SUM(H98+I98)</f>
        <v>46.496000000000002</v>
      </c>
      <c r="K98" s="67" t="str">
        <f>_xlfn.XLOOKUP(C98,'REGIONAIS-GEREX'!$C$3:$C$445,'REGIONAIS-GEREX'!$A$3:$A$445," ")</f>
        <v>GEFAN - Oeste</v>
      </c>
      <c r="L98" s="81"/>
      <c r="M98" s="117">
        <f>Tabela2[[#This Row],[VALOR VSC PERCURSO]]+Tabela2[[#This Row],[VALOR ]]</f>
        <v>46.496000000000002</v>
      </c>
    </row>
    <row r="99" spans="1:13" ht="15.75" customHeight="1" x14ac:dyDescent="0.25">
      <c r="A99" s="8">
        <v>160</v>
      </c>
      <c r="B99" s="11" t="s">
        <v>56</v>
      </c>
      <c r="C99" s="11"/>
      <c r="D99" s="11"/>
      <c r="E99" s="11"/>
      <c r="F99" s="58">
        <v>10368179</v>
      </c>
      <c r="G99" s="11" t="s">
        <v>9</v>
      </c>
      <c r="H99" s="16">
        <v>149.38999999999999</v>
      </c>
      <c r="I99" s="15">
        <v>83.09</v>
      </c>
      <c r="J99" s="61"/>
      <c r="K99" s="67" t="str">
        <f>_xlfn.XLOOKUP(C99,'REGIONAIS-GEREX'!$C$3:$C$445,'REGIONAIS-GEREX'!$A$3:$A$445," ")</f>
        <v xml:space="preserve"> </v>
      </c>
      <c r="L99" s="81"/>
      <c r="M99" s="117">
        <f>Tabela2[[#This Row],[VALOR VSC PERCURSO]]+Tabela2[[#This Row],[VALOR ]]</f>
        <v>232.48</v>
      </c>
    </row>
    <row r="100" spans="1:13" ht="15.75" customHeight="1" x14ac:dyDescent="0.25">
      <c r="A100" s="8">
        <v>161</v>
      </c>
      <c r="B100" s="9" t="s">
        <v>57</v>
      </c>
      <c r="C100" s="9">
        <v>206</v>
      </c>
      <c r="D100" s="9">
        <v>8144</v>
      </c>
      <c r="E100" s="9">
        <v>25318</v>
      </c>
      <c r="F100" s="58">
        <v>10368179</v>
      </c>
      <c r="G100" s="11" t="s">
        <v>9</v>
      </c>
      <c r="H100" s="35">
        <f>H99*0.4</f>
        <v>59.756</v>
      </c>
      <c r="I100" s="35">
        <f>$I$99*0.4</f>
        <v>33.236000000000004</v>
      </c>
      <c r="J100" s="61">
        <f>SUM(H100+I100)</f>
        <v>92.992000000000004</v>
      </c>
      <c r="K100" s="67" t="str">
        <f>_xlfn.XLOOKUP(C100,'REGIONAIS-GEREX'!$C$3:$C$445,'REGIONAIS-GEREX'!$A$3:$A$445," ")</f>
        <v>Extremo Oeste e Oeste</v>
      </c>
      <c r="L100" s="81"/>
      <c r="M100" s="117">
        <f>Tabela2[[#This Row],[VALOR VSC PERCURSO]]+Tabela2[[#This Row],[VALOR ]]</f>
        <v>92.992000000000004</v>
      </c>
    </row>
    <row r="101" spans="1:13" ht="15.75" customHeight="1" x14ac:dyDescent="0.25">
      <c r="A101" s="8">
        <v>162</v>
      </c>
      <c r="B101" s="9" t="s">
        <v>58</v>
      </c>
      <c r="C101" s="9">
        <v>229</v>
      </c>
      <c r="D101" s="9">
        <v>8144</v>
      </c>
      <c r="E101" s="9">
        <v>25318</v>
      </c>
      <c r="F101" s="58">
        <v>10368179</v>
      </c>
      <c r="G101" s="11" t="s">
        <v>9</v>
      </c>
      <c r="H101" s="35">
        <f>H99*0.4</f>
        <v>59.756</v>
      </c>
      <c r="I101" s="35">
        <f>$I$99*0.4</f>
        <v>33.236000000000004</v>
      </c>
      <c r="J101" s="61">
        <f>SUM(H101+I101)</f>
        <v>92.992000000000004</v>
      </c>
      <c r="K101" s="67" t="str">
        <f>_xlfn.XLOOKUP(C101,'REGIONAIS-GEREX'!$C$3:$C$445,'REGIONAIS-GEREX'!$A$3:$A$445," ")</f>
        <v>Extremo Oeste e Oeste</v>
      </c>
      <c r="L101" s="81"/>
      <c r="M101" s="117">
        <f>Tabela2[[#This Row],[VALOR VSC PERCURSO]]+Tabela2[[#This Row],[VALOR ]]</f>
        <v>92.992000000000004</v>
      </c>
    </row>
    <row r="102" spans="1:13" ht="15.75" customHeight="1" x14ac:dyDescent="0.25">
      <c r="A102" s="8">
        <v>163</v>
      </c>
      <c r="B102" s="9" t="s">
        <v>59</v>
      </c>
      <c r="C102" s="9">
        <v>532</v>
      </c>
      <c r="D102" s="9">
        <v>8243</v>
      </c>
      <c r="E102" s="9">
        <v>25318</v>
      </c>
      <c r="F102" s="58">
        <v>10368179</v>
      </c>
      <c r="G102" s="11" t="s">
        <v>9</v>
      </c>
      <c r="H102" s="35">
        <f>$H$99*0.2</f>
        <v>29.878</v>
      </c>
      <c r="I102" s="35">
        <f>$I$99*0.2</f>
        <v>16.618000000000002</v>
      </c>
      <c r="J102" s="61">
        <f>SUM(H102+I102)</f>
        <v>46.496000000000002</v>
      </c>
      <c r="K102" s="67" t="str">
        <f>_xlfn.XLOOKUP(C102,'REGIONAIS-GEREX'!$C$3:$C$445,'REGIONAIS-GEREX'!$A$3:$A$445," ")</f>
        <v>GEFAN - Oeste</v>
      </c>
      <c r="L102" s="81"/>
      <c r="M102" s="117">
        <f>Tabela2[[#This Row],[VALOR VSC PERCURSO]]+Tabela2[[#This Row],[VALOR ]]</f>
        <v>46.496000000000002</v>
      </c>
    </row>
    <row r="103" spans="1:13" ht="15.75" customHeight="1" x14ac:dyDescent="0.25">
      <c r="A103" s="8">
        <v>164</v>
      </c>
      <c r="B103" s="9" t="s">
        <v>60</v>
      </c>
      <c r="C103" s="9">
        <v>204</v>
      </c>
      <c r="D103" s="10">
        <v>8144</v>
      </c>
      <c r="E103" s="9">
        <v>25318</v>
      </c>
      <c r="F103" s="59">
        <v>10370233</v>
      </c>
      <c r="G103" s="9" t="s">
        <v>9</v>
      </c>
      <c r="H103" s="33">
        <v>0</v>
      </c>
      <c r="I103" s="56">
        <v>232.48</v>
      </c>
      <c r="J103" s="61">
        <f>SUM(H103+I103)</f>
        <v>232.48</v>
      </c>
      <c r="K103" s="67" t="str">
        <f>_xlfn.XLOOKUP(C103,'REGIONAIS-GEREX'!$C$3:$C$445,'REGIONAIS-GEREX'!$A$3:$A$445," ")</f>
        <v>Centro Norte</v>
      </c>
      <c r="L103" s="81"/>
      <c r="M103" s="117">
        <f>Tabela2[[#This Row],[VALOR VSC PERCURSO]]+Tabela2[[#This Row],[VALOR ]]</f>
        <v>232.48</v>
      </c>
    </row>
    <row r="104" spans="1:13" ht="15.75" customHeight="1" x14ac:dyDescent="0.25">
      <c r="A104" s="8">
        <v>167</v>
      </c>
      <c r="B104" s="11" t="s">
        <v>211</v>
      </c>
      <c r="C104" s="11"/>
      <c r="D104" s="11"/>
      <c r="E104" s="11"/>
      <c r="F104" s="11">
        <v>72016736</v>
      </c>
      <c r="G104" s="11" t="s">
        <v>71</v>
      </c>
      <c r="H104" s="15">
        <v>0</v>
      </c>
      <c r="I104" s="15">
        <v>0</v>
      </c>
      <c r="J104" s="61"/>
      <c r="K104" s="67" t="str">
        <f>_xlfn.XLOOKUP(C104,'REGIONAIS-GEREX'!$C$3:$C$445,'REGIONAIS-GEREX'!$A$3:$A$445," ")</f>
        <v xml:space="preserve"> </v>
      </c>
      <c r="L104" s="81"/>
      <c r="M104" s="117">
        <f>Tabela2[[#This Row],[VALOR VSC PERCURSO]]+Tabela2[[#This Row],[VALOR ]]</f>
        <v>0</v>
      </c>
    </row>
    <row r="105" spans="1:13" ht="15.75" customHeight="1" x14ac:dyDescent="0.25">
      <c r="A105" s="8">
        <v>173</v>
      </c>
      <c r="B105" s="9" t="s">
        <v>61</v>
      </c>
      <c r="C105" s="9">
        <v>8015</v>
      </c>
      <c r="D105" s="9">
        <v>8264</v>
      </c>
      <c r="E105" s="9">
        <v>25318</v>
      </c>
      <c r="F105" s="9">
        <v>72167203</v>
      </c>
      <c r="G105" s="9" t="s">
        <v>71</v>
      </c>
      <c r="H105" s="15">
        <v>88.79</v>
      </c>
      <c r="I105" s="15">
        <v>0</v>
      </c>
      <c r="J105" s="61">
        <f t="shared" ref="J105:J115" si="9">SUM(H105+I105)</f>
        <v>88.79</v>
      </c>
      <c r="K105" s="67" t="str">
        <f>_xlfn.XLOOKUP(C105,'REGIONAIS-GEREX'!$C$3:$C$445,'REGIONAIS-GEREX'!$A$3:$A$445," ")</f>
        <v>GEFAN - SAFE</v>
      </c>
      <c r="L105" s="81"/>
      <c r="M105" s="117">
        <f>Tabela2[[#This Row],[VALOR VSC PERCURSO]]+Tabela2[[#This Row],[VALOR ]]</f>
        <v>88.79</v>
      </c>
    </row>
    <row r="106" spans="1:13" ht="15.75" customHeight="1" x14ac:dyDescent="0.25">
      <c r="A106" s="8">
        <v>174</v>
      </c>
      <c r="B106" s="10" t="s">
        <v>62</v>
      </c>
      <c r="C106" s="10">
        <v>205</v>
      </c>
      <c r="D106" s="10">
        <v>8144</v>
      </c>
      <c r="E106" s="10">
        <v>25318</v>
      </c>
      <c r="F106" s="44">
        <v>10378081</v>
      </c>
      <c r="G106" s="9" t="s">
        <v>9</v>
      </c>
      <c r="H106" s="15">
        <v>24.98</v>
      </c>
      <c r="I106" s="15">
        <v>207.5</v>
      </c>
      <c r="J106" s="61">
        <f t="shared" si="9"/>
        <v>232.48</v>
      </c>
      <c r="K106" s="67" t="str">
        <f>_xlfn.XLOOKUP(C106,'REGIONAIS-GEREX'!$C$3:$C$445,'REGIONAIS-GEREX'!$A$3:$A$445," ")</f>
        <v>Centro Norte</v>
      </c>
      <c r="L106" s="81"/>
      <c r="M106" s="117">
        <f>Tabela2[[#This Row],[VALOR VSC PERCURSO]]+Tabela2[[#This Row],[VALOR ]]</f>
        <v>232.48</v>
      </c>
    </row>
    <row r="107" spans="1:13" ht="15.75" customHeight="1" x14ac:dyDescent="0.25">
      <c r="A107" s="8">
        <v>179</v>
      </c>
      <c r="B107" s="10" t="s">
        <v>64</v>
      </c>
      <c r="C107" s="10" t="s">
        <v>662</v>
      </c>
      <c r="D107" s="10">
        <v>7980</v>
      </c>
      <c r="E107" s="10">
        <v>25318</v>
      </c>
      <c r="F107" s="44">
        <v>71568050</v>
      </c>
      <c r="G107" s="9" t="s">
        <v>71</v>
      </c>
      <c r="H107" s="15">
        <v>77.27</v>
      </c>
      <c r="I107" s="15">
        <v>0</v>
      </c>
      <c r="J107" s="61">
        <f t="shared" si="9"/>
        <v>77.27</v>
      </c>
      <c r="K107" s="67" t="str">
        <f>_xlfn.XLOOKUP(C107,'REGIONAIS-GEREX'!$C$3:$C$445,'REGIONAIS-GEREX'!$A$3:$A$445," ")</f>
        <v xml:space="preserve">SEDE </v>
      </c>
      <c r="L107" s="81"/>
      <c r="M107" s="117">
        <f>Tabela2[[#This Row],[VALOR VSC PERCURSO]]+Tabela2[[#This Row],[VALOR ]]</f>
        <v>77.27</v>
      </c>
    </row>
    <row r="108" spans="1:13" ht="15.75" customHeight="1" x14ac:dyDescent="0.25">
      <c r="A108" s="8">
        <v>181</v>
      </c>
      <c r="B108" s="10" t="s">
        <v>66</v>
      </c>
      <c r="C108" s="10" t="s">
        <v>663</v>
      </c>
      <c r="D108" s="10">
        <v>8290</v>
      </c>
      <c r="E108" s="10">
        <v>25318</v>
      </c>
      <c r="F108" s="44">
        <v>72257075</v>
      </c>
      <c r="G108" s="9" t="s">
        <v>71</v>
      </c>
      <c r="H108" s="15">
        <v>2292.08</v>
      </c>
      <c r="I108" s="15">
        <v>0</v>
      </c>
      <c r="J108" s="61">
        <f t="shared" si="9"/>
        <v>2292.08</v>
      </c>
      <c r="K108" s="67" t="str">
        <f>_xlfn.XLOOKUP(C108,'REGIONAIS-GEREX'!$C$3:$C$445,'REGIONAIS-GEREX'!$A$3:$A$445," ")</f>
        <v xml:space="preserve">SEDE </v>
      </c>
      <c r="L108" s="81"/>
      <c r="M108" s="117">
        <f>Tabela2[[#This Row],[VALOR VSC PERCURSO]]+Tabela2[[#This Row],[VALOR ]]</f>
        <v>2292.08</v>
      </c>
    </row>
    <row r="109" spans="1:13" ht="15.75" customHeight="1" x14ac:dyDescent="0.25">
      <c r="A109" s="8">
        <v>184</v>
      </c>
      <c r="B109" s="10" t="s">
        <v>68</v>
      </c>
      <c r="C109" s="10">
        <v>8004</v>
      </c>
      <c r="D109" s="10">
        <v>8264</v>
      </c>
      <c r="E109" s="10">
        <v>25318</v>
      </c>
      <c r="F109" s="44">
        <v>72325704</v>
      </c>
      <c r="G109" s="9" t="s">
        <v>71</v>
      </c>
      <c r="H109" s="15">
        <v>84.64</v>
      </c>
      <c r="I109" s="15">
        <v>0</v>
      </c>
      <c r="J109" s="61">
        <f t="shared" si="9"/>
        <v>84.64</v>
      </c>
      <c r="K109" s="67" t="str">
        <f>_xlfn.XLOOKUP(C109,'REGIONAIS-GEREX'!$C$3:$C$445,'REGIONAIS-GEREX'!$A$3:$A$445," ")</f>
        <v>GEFAN - SAFE</v>
      </c>
      <c r="L109" s="81"/>
      <c r="M109" s="117">
        <f>Tabela2[[#This Row],[VALOR VSC PERCURSO]]+Tabela2[[#This Row],[VALOR ]]</f>
        <v>84.64</v>
      </c>
    </row>
    <row r="110" spans="1:13" ht="15.75" customHeight="1" x14ac:dyDescent="0.25">
      <c r="A110" s="8">
        <v>186</v>
      </c>
      <c r="B110" s="9" t="s">
        <v>69</v>
      </c>
      <c r="C110" s="9" t="s">
        <v>664</v>
      </c>
      <c r="D110" s="9">
        <v>8278</v>
      </c>
      <c r="E110" s="9">
        <v>25318</v>
      </c>
      <c r="F110" s="43">
        <v>72257067</v>
      </c>
      <c r="G110" s="9" t="s">
        <v>71</v>
      </c>
      <c r="H110" s="15">
        <v>784.15</v>
      </c>
      <c r="I110" s="15">
        <v>0</v>
      </c>
      <c r="J110" s="61">
        <f t="shared" si="9"/>
        <v>784.15</v>
      </c>
      <c r="K110" s="67" t="str">
        <f>_xlfn.XLOOKUP(C110,'REGIONAIS-GEREX'!$C$3:$C$445,'REGIONAIS-GEREX'!$A$3:$A$445," ")</f>
        <v xml:space="preserve">SEDE </v>
      </c>
      <c r="L110" s="81"/>
      <c r="M110" s="117">
        <f>Tabela2[[#This Row],[VALOR VSC PERCURSO]]+Tabela2[[#This Row],[VALOR ]]</f>
        <v>784.15</v>
      </c>
    </row>
    <row r="111" spans="1:13" ht="15.75" customHeight="1" x14ac:dyDescent="0.25">
      <c r="A111" s="8">
        <v>188</v>
      </c>
      <c r="B111" s="9" t="s">
        <v>70</v>
      </c>
      <c r="C111" s="9">
        <v>100</v>
      </c>
      <c r="D111" s="9">
        <v>13310</v>
      </c>
      <c r="E111" s="9">
        <v>25318</v>
      </c>
      <c r="F111" s="43">
        <v>77134419</v>
      </c>
      <c r="G111" s="9" t="s">
        <v>71</v>
      </c>
      <c r="H111" s="19">
        <v>30.28</v>
      </c>
      <c r="I111" s="15">
        <v>0</v>
      </c>
      <c r="J111" s="61">
        <f t="shared" si="9"/>
        <v>30.28</v>
      </c>
      <c r="K111" s="67" t="str">
        <f>_xlfn.XLOOKUP(C111,'REGIONAIS-GEREX'!$C$3:$C$445,'REGIONAIS-GEREX'!$A$3:$A$445," ")</f>
        <v>SEDE</v>
      </c>
      <c r="L111" s="81"/>
      <c r="M111" s="117">
        <f>Tabela2[[#This Row],[VALOR VSC PERCURSO]]+Tabela2[[#This Row],[VALOR ]]</f>
        <v>30.28</v>
      </c>
    </row>
    <row r="112" spans="1:13" ht="15.75" customHeight="1" x14ac:dyDescent="0.25">
      <c r="A112" s="8">
        <v>189</v>
      </c>
      <c r="B112" s="9" t="s">
        <v>173</v>
      </c>
      <c r="C112" s="9">
        <v>8002</v>
      </c>
      <c r="D112" s="9">
        <v>8264</v>
      </c>
      <c r="E112" s="9">
        <v>25318</v>
      </c>
      <c r="F112" s="43">
        <v>71568425</v>
      </c>
      <c r="G112" s="9" t="s">
        <v>155</v>
      </c>
      <c r="H112" s="19">
        <v>71.44</v>
      </c>
      <c r="I112" s="15">
        <v>0</v>
      </c>
      <c r="J112" s="61">
        <f t="shared" si="9"/>
        <v>71.44</v>
      </c>
      <c r="K112" s="67" t="str">
        <f>_xlfn.XLOOKUP(C112,'REGIONAIS-GEREX'!$C$3:$C$445,'REGIONAIS-GEREX'!$A$3:$A$445," ")</f>
        <v>GEFAN - SAFE</v>
      </c>
      <c r="L112" s="81"/>
      <c r="M112" s="117">
        <f>Tabela2[[#This Row],[VALOR VSC PERCURSO]]+Tabela2[[#This Row],[VALOR ]]</f>
        <v>71.44</v>
      </c>
    </row>
    <row r="113" spans="1:13" ht="15.75" customHeight="1" x14ac:dyDescent="0.25">
      <c r="A113" s="8">
        <v>195</v>
      </c>
      <c r="B113" s="13" t="s">
        <v>67</v>
      </c>
      <c r="C113" s="10">
        <v>8010</v>
      </c>
      <c r="D113" s="10">
        <v>8264</v>
      </c>
      <c r="E113" s="10">
        <v>25318</v>
      </c>
      <c r="F113" s="13">
        <v>68925409</v>
      </c>
      <c r="G113" s="13" t="s">
        <v>71</v>
      </c>
      <c r="H113" s="19">
        <v>397.89</v>
      </c>
      <c r="I113" s="15">
        <v>0</v>
      </c>
      <c r="J113" s="61">
        <f t="shared" si="9"/>
        <v>397.89</v>
      </c>
      <c r="K113" s="67" t="str">
        <f>_xlfn.XLOOKUP(C113,'REGIONAIS-GEREX'!$C$3:$C$445,'REGIONAIS-GEREX'!$A$3:$A$445," ")</f>
        <v>GEFAN - SAFE</v>
      </c>
      <c r="L113" s="81"/>
      <c r="M113" s="117">
        <f>Tabela2[[#This Row],[VALOR VSC PERCURSO]]+Tabela2[[#This Row],[VALOR ]]</f>
        <v>397.89</v>
      </c>
    </row>
    <row r="114" spans="1:13" ht="15.75" customHeight="1" x14ac:dyDescent="0.25">
      <c r="A114" s="8">
        <v>200</v>
      </c>
      <c r="B114" s="13" t="s">
        <v>212</v>
      </c>
      <c r="C114" s="13">
        <v>8026</v>
      </c>
      <c r="D114" s="28">
        <v>8264</v>
      </c>
      <c r="E114" s="13">
        <v>25318</v>
      </c>
      <c r="F114" s="13">
        <v>77815319</v>
      </c>
      <c r="G114" s="13" t="s">
        <v>71</v>
      </c>
      <c r="H114" s="15">
        <v>221.98</v>
      </c>
      <c r="I114" s="15">
        <v>0</v>
      </c>
      <c r="J114" s="61">
        <f t="shared" si="9"/>
        <v>221.98</v>
      </c>
      <c r="K114" s="67" t="str">
        <f>_xlfn.XLOOKUP(C114,'REGIONAIS-GEREX'!$C$3:$C$445,'REGIONAIS-GEREX'!$A$3:$A$445," ")</f>
        <v>GEFAN - SAFE</v>
      </c>
      <c r="L114" s="81"/>
      <c r="M114" s="117">
        <f>Tabela2[[#This Row],[VALOR VSC PERCURSO]]+Tabela2[[#This Row],[VALOR ]]</f>
        <v>221.98</v>
      </c>
    </row>
    <row r="115" spans="1:13" ht="15.75" customHeight="1" x14ac:dyDescent="0.25">
      <c r="A115" s="8">
        <v>201</v>
      </c>
      <c r="B115" s="13" t="s">
        <v>213</v>
      </c>
      <c r="C115" s="13">
        <v>8029</v>
      </c>
      <c r="D115" s="13">
        <v>8264</v>
      </c>
      <c r="E115" s="13">
        <v>25318</v>
      </c>
      <c r="F115" s="13">
        <v>77834267</v>
      </c>
      <c r="G115" s="13" t="s">
        <v>71</v>
      </c>
      <c r="H115" s="16">
        <v>63.09</v>
      </c>
      <c r="I115" s="15">
        <v>0</v>
      </c>
      <c r="J115" s="61">
        <f t="shared" si="9"/>
        <v>63.09</v>
      </c>
      <c r="K115" s="67" t="str">
        <f>_xlfn.XLOOKUP(C115,'REGIONAIS-GEREX'!$C$3:$C$445,'REGIONAIS-GEREX'!$A$3:$A$445," ")</f>
        <v>GEFAN - SAFE</v>
      </c>
      <c r="L115" s="81"/>
      <c r="M115" s="117">
        <f>Tabela2[[#This Row],[VALOR VSC PERCURSO]]+Tabela2[[#This Row],[VALOR ]]</f>
        <v>63.09</v>
      </c>
    </row>
    <row r="116" spans="1:13" ht="15.75" customHeight="1" x14ac:dyDescent="0.25">
      <c r="A116" s="8">
        <v>204</v>
      </c>
      <c r="B116" s="11" t="s">
        <v>72</v>
      </c>
      <c r="C116" s="11"/>
      <c r="D116" s="11"/>
      <c r="E116" s="11"/>
      <c r="F116" s="45">
        <v>67985807</v>
      </c>
      <c r="G116" s="13" t="s">
        <v>71</v>
      </c>
      <c r="H116" s="19">
        <v>7077.21</v>
      </c>
      <c r="I116" s="15">
        <v>0</v>
      </c>
      <c r="J116" s="61"/>
      <c r="K116" s="67" t="str">
        <f>_xlfn.XLOOKUP(C116,'REGIONAIS-GEREX'!$C$3:$C$445,'REGIONAIS-GEREX'!$A$3:$A$445," ")</f>
        <v xml:space="preserve"> </v>
      </c>
      <c r="L116" s="56"/>
      <c r="M116" s="117">
        <f>Tabela2[[#This Row],[VALOR VSC PERCURSO]]+Tabela2[[#This Row],[VALOR ]]</f>
        <v>7077.21</v>
      </c>
    </row>
    <row r="117" spans="1:13" ht="15.75" customHeight="1" x14ac:dyDescent="0.25">
      <c r="A117" s="8">
        <v>205</v>
      </c>
      <c r="B117" s="28"/>
      <c r="C117" s="53">
        <v>8008</v>
      </c>
      <c r="D117" s="53">
        <v>8264</v>
      </c>
      <c r="E117" s="53">
        <v>25318</v>
      </c>
      <c r="F117" s="45">
        <v>67985807</v>
      </c>
      <c r="G117" s="28" t="s">
        <v>71</v>
      </c>
      <c r="H117" s="15">
        <v>40.72</v>
      </c>
      <c r="I117" s="15">
        <v>0</v>
      </c>
      <c r="J117" s="61">
        <f t="shared" ref="J117:J159" si="10">SUM(H117+I117)</f>
        <v>40.72</v>
      </c>
      <c r="K117" s="67" t="str">
        <f>_xlfn.XLOOKUP(C117,'REGIONAIS-GEREX'!$C$3:$C$445,'REGIONAIS-GEREX'!$A$3:$A$445," ")</f>
        <v>GEFAN - SAFE</v>
      </c>
      <c r="L117" s="81"/>
      <c r="M117" s="117">
        <f>Tabela2[[#This Row],[VALOR VSC PERCURSO]]+Tabela2[[#This Row],[VALOR ]]</f>
        <v>40.72</v>
      </c>
    </row>
    <row r="118" spans="1:13" ht="15.75" customHeight="1" x14ac:dyDescent="0.25">
      <c r="A118" s="8">
        <v>206</v>
      </c>
      <c r="B118" s="28"/>
      <c r="C118" s="53">
        <v>8019</v>
      </c>
      <c r="D118" s="53">
        <v>8264</v>
      </c>
      <c r="E118" s="53">
        <v>25318</v>
      </c>
      <c r="F118" s="45">
        <v>67985807</v>
      </c>
      <c r="G118" s="28" t="s">
        <v>71</v>
      </c>
      <c r="H118" s="19">
        <v>43.56</v>
      </c>
      <c r="I118" s="15">
        <v>0</v>
      </c>
      <c r="J118" s="61">
        <f t="shared" si="10"/>
        <v>43.56</v>
      </c>
      <c r="K118" s="67" t="str">
        <f>_xlfn.XLOOKUP(C118,'REGIONAIS-GEREX'!$C$3:$C$445,'REGIONAIS-GEREX'!$A$3:$A$445," ")</f>
        <v>GEFAN - SAFE</v>
      </c>
      <c r="L118" s="81"/>
      <c r="M118" s="117">
        <f>Tabela2[[#This Row],[VALOR VSC PERCURSO]]+Tabela2[[#This Row],[VALOR ]]</f>
        <v>43.56</v>
      </c>
    </row>
    <row r="119" spans="1:13" ht="15.75" customHeight="1" x14ac:dyDescent="0.25">
      <c r="A119" s="8">
        <v>207</v>
      </c>
      <c r="B119" s="28"/>
      <c r="C119" s="53">
        <v>4027</v>
      </c>
      <c r="D119" s="53">
        <v>8264</v>
      </c>
      <c r="E119" s="53">
        <v>25318</v>
      </c>
      <c r="F119" s="45">
        <v>67985807</v>
      </c>
      <c r="G119" s="28" t="s">
        <v>71</v>
      </c>
      <c r="H119" s="19">
        <v>55.09</v>
      </c>
      <c r="I119" s="15">
        <v>0</v>
      </c>
      <c r="J119" s="61">
        <f t="shared" si="10"/>
        <v>55.09</v>
      </c>
      <c r="K119" s="67" t="str">
        <f>_xlfn.XLOOKUP(C119,'REGIONAIS-GEREX'!$C$3:$C$445,'REGIONAIS-GEREX'!$A$3:$A$445," ")</f>
        <v>GEFAN - Sul e Sudeste</v>
      </c>
      <c r="L119" s="81"/>
      <c r="M119" s="117">
        <f>Tabela2[[#This Row],[VALOR VSC PERCURSO]]+Tabela2[[#This Row],[VALOR ]]</f>
        <v>55.09</v>
      </c>
    </row>
    <row r="120" spans="1:13" ht="15.75" customHeight="1" x14ac:dyDescent="0.25">
      <c r="A120" s="8">
        <v>208</v>
      </c>
      <c r="B120" s="28"/>
      <c r="C120" s="53">
        <v>215</v>
      </c>
      <c r="D120" s="53">
        <v>12161</v>
      </c>
      <c r="E120" s="53">
        <v>25318</v>
      </c>
      <c r="F120" s="45">
        <v>67985807</v>
      </c>
      <c r="G120" s="28" t="s">
        <v>71</v>
      </c>
      <c r="H120" s="19">
        <v>191.11</v>
      </c>
      <c r="I120" s="15">
        <v>0</v>
      </c>
      <c r="J120" s="61">
        <f t="shared" si="10"/>
        <v>191.11</v>
      </c>
      <c r="K120" s="67" t="str">
        <f>_xlfn.XLOOKUP(C120,'REGIONAIS-GEREX'!$C$3:$C$445,'REGIONAIS-GEREX'!$A$3:$A$445," ")</f>
        <v>Serra Catarinense</v>
      </c>
      <c r="L120" s="95"/>
      <c r="M120" s="117">
        <f>Tabela2[[#This Row],[VALOR VSC PERCURSO]]+Tabela2[[#This Row],[VALOR ]]</f>
        <v>191.11</v>
      </c>
    </row>
    <row r="121" spans="1:13" ht="15.75" customHeight="1" x14ac:dyDescent="0.25">
      <c r="A121" s="8">
        <v>209</v>
      </c>
      <c r="B121" s="28"/>
      <c r="C121" s="53">
        <v>471</v>
      </c>
      <c r="D121" s="53">
        <v>8264</v>
      </c>
      <c r="E121" s="53">
        <v>25318</v>
      </c>
      <c r="F121" s="45">
        <v>67985807</v>
      </c>
      <c r="G121" s="28" t="s">
        <v>71</v>
      </c>
      <c r="H121" s="19">
        <v>70.67</v>
      </c>
      <c r="I121" s="15">
        <v>0</v>
      </c>
      <c r="J121" s="61">
        <f t="shared" si="10"/>
        <v>70.67</v>
      </c>
      <c r="K121" s="67" t="str">
        <f>_xlfn.XLOOKUP(C121,'REGIONAIS-GEREX'!$C$3:$C$445,'REGIONAIS-GEREX'!$A$3:$A$445," ")</f>
        <v>GEFAN - Norte - Nordeste / Plan. e Vale</v>
      </c>
      <c r="L121" s="93"/>
      <c r="M121" s="117">
        <f>Tabela2[[#This Row],[VALOR VSC PERCURSO]]+Tabela2[[#This Row],[VALOR ]]</f>
        <v>70.67</v>
      </c>
    </row>
    <row r="122" spans="1:13" ht="15.75" customHeight="1" x14ac:dyDescent="0.25">
      <c r="A122" s="8">
        <v>210</v>
      </c>
      <c r="B122" s="28"/>
      <c r="C122" s="53">
        <v>471</v>
      </c>
      <c r="D122" s="53">
        <v>8264</v>
      </c>
      <c r="E122" s="53">
        <v>25318</v>
      </c>
      <c r="F122" s="45">
        <v>67985807</v>
      </c>
      <c r="G122" s="28" t="s">
        <v>71</v>
      </c>
      <c r="H122" s="19">
        <v>106.28</v>
      </c>
      <c r="I122" s="15">
        <v>0</v>
      </c>
      <c r="J122" s="61">
        <f t="shared" si="10"/>
        <v>106.28</v>
      </c>
      <c r="K122" s="67" t="str">
        <f>_xlfn.XLOOKUP(C122,'REGIONAIS-GEREX'!$C$3:$C$445,'REGIONAIS-GEREX'!$A$3:$A$445," ")</f>
        <v>GEFAN - Norte - Nordeste / Plan. e Vale</v>
      </c>
      <c r="L122" s="81"/>
      <c r="M122" s="117">
        <f>Tabela2[[#This Row],[VALOR VSC PERCURSO]]+Tabela2[[#This Row],[VALOR ]]</f>
        <v>106.28</v>
      </c>
    </row>
    <row r="123" spans="1:13" ht="15.75" customHeight="1" x14ac:dyDescent="0.25">
      <c r="A123" s="8">
        <v>211</v>
      </c>
      <c r="B123" s="28"/>
      <c r="C123" s="53">
        <v>214</v>
      </c>
      <c r="D123" s="53">
        <v>12161</v>
      </c>
      <c r="E123" s="53">
        <v>25318</v>
      </c>
      <c r="F123" s="45">
        <v>67985807</v>
      </c>
      <c r="G123" s="28" t="s">
        <v>71</v>
      </c>
      <c r="H123" s="19">
        <v>219.92000000000002</v>
      </c>
      <c r="I123" s="15">
        <v>0</v>
      </c>
      <c r="J123" s="61">
        <f t="shared" si="10"/>
        <v>219.92000000000002</v>
      </c>
      <c r="K123" s="67" t="str">
        <f>_xlfn.XLOOKUP(C123,'REGIONAIS-GEREX'!$C$3:$C$445,'REGIONAIS-GEREX'!$A$3:$A$445," ")</f>
        <v>Norte Nordeste</v>
      </c>
      <c r="L123" s="81"/>
      <c r="M123" s="117">
        <f>Tabela2[[#This Row],[VALOR VSC PERCURSO]]+Tabela2[[#This Row],[VALOR ]]</f>
        <v>219.92000000000002</v>
      </c>
    </row>
    <row r="124" spans="1:13" ht="15.75" customHeight="1" x14ac:dyDescent="0.25">
      <c r="A124" s="8">
        <v>212</v>
      </c>
      <c r="B124" s="28"/>
      <c r="C124" s="53">
        <v>214</v>
      </c>
      <c r="D124" s="53">
        <v>12161</v>
      </c>
      <c r="E124" s="53">
        <v>25318</v>
      </c>
      <c r="F124" s="45">
        <v>67985807</v>
      </c>
      <c r="G124" s="28" t="s">
        <v>71</v>
      </c>
      <c r="H124" s="19">
        <v>381.26</v>
      </c>
      <c r="I124" s="15">
        <v>0</v>
      </c>
      <c r="J124" s="61">
        <f t="shared" si="10"/>
        <v>381.26</v>
      </c>
      <c r="K124" s="67" t="str">
        <f>_xlfn.XLOOKUP(C124,'REGIONAIS-GEREX'!$C$3:$C$445,'REGIONAIS-GEREX'!$A$3:$A$445," ")</f>
        <v>Norte Nordeste</v>
      </c>
      <c r="L124" s="81"/>
      <c r="M124" s="117">
        <f>Tabela2[[#This Row],[VALOR VSC PERCURSO]]+Tabela2[[#This Row],[VALOR ]]</f>
        <v>381.26</v>
      </c>
    </row>
    <row r="125" spans="1:13" ht="15.75" customHeight="1" x14ac:dyDescent="0.25">
      <c r="A125" s="8">
        <v>213</v>
      </c>
      <c r="B125" s="28"/>
      <c r="C125" s="53">
        <v>8008</v>
      </c>
      <c r="D125" s="53">
        <v>8264</v>
      </c>
      <c r="E125" s="53">
        <v>25318</v>
      </c>
      <c r="F125" s="45">
        <v>67985807</v>
      </c>
      <c r="G125" s="28" t="s">
        <v>71</v>
      </c>
      <c r="H125" s="19">
        <v>93.259999999999991</v>
      </c>
      <c r="I125" s="15">
        <v>0</v>
      </c>
      <c r="J125" s="61">
        <f t="shared" si="10"/>
        <v>93.259999999999991</v>
      </c>
      <c r="K125" s="67" t="str">
        <f>_xlfn.XLOOKUP(C125,'REGIONAIS-GEREX'!$C$3:$C$445,'REGIONAIS-GEREX'!$A$3:$A$445," ")</f>
        <v>GEFAN - SAFE</v>
      </c>
      <c r="L125" s="81"/>
      <c r="M125" s="117">
        <f>Tabela2[[#This Row],[VALOR VSC PERCURSO]]+Tabela2[[#This Row],[VALOR ]]</f>
        <v>93.259999999999991</v>
      </c>
    </row>
    <row r="126" spans="1:13" ht="15.75" customHeight="1" x14ac:dyDescent="0.25">
      <c r="A126" s="8">
        <v>214</v>
      </c>
      <c r="B126" s="28"/>
      <c r="C126" s="53">
        <v>92</v>
      </c>
      <c r="D126" s="53">
        <v>13316</v>
      </c>
      <c r="E126" s="53">
        <v>25386</v>
      </c>
      <c r="F126" s="45">
        <v>67985807</v>
      </c>
      <c r="G126" s="28" t="s">
        <v>71</v>
      </c>
      <c r="H126" s="19">
        <v>77.2</v>
      </c>
      <c r="I126" s="15">
        <v>0</v>
      </c>
      <c r="J126" s="61">
        <f t="shared" si="10"/>
        <v>77.2</v>
      </c>
      <c r="K126" s="67" t="str">
        <f>_xlfn.XLOOKUP(C126,'REGIONAIS-GEREX'!$C$3:$C$445,'REGIONAIS-GEREX'!$A$3:$A$445," ")</f>
        <v>Negócios Digitais</v>
      </c>
      <c r="L126" s="81"/>
      <c r="M126" s="117">
        <f>Tabela2[[#This Row],[VALOR VSC PERCURSO]]+Tabela2[[#This Row],[VALOR ]]</f>
        <v>77.2</v>
      </c>
    </row>
    <row r="127" spans="1:13" ht="15.75" customHeight="1" x14ac:dyDescent="0.25">
      <c r="A127" s="8">
        <v>215</v>
      </c>
      <c r="B127" s="28"/>
      <c r="C127" s="53">
        <v>4081</v>
      </c>
      <c r="D127" s="53">
        <v>8264</v>
      </c>
      <c r="E127" s="53">
        <v>25318</v>
      </c>
      <c r="F127" s="45">
        <v>67985807</v>
      </c>
      <c r="G127" s="28" t="s">
        <v>71</v>
      </c>
      <c r="H127" s="19">
        <v>56.709999999999994</v>
      </c>
      <c r="I127" s="15">
        <v>0</v>
      </c>
      <c r="J127" s="61">
        <f t="shared" si="10"/>
        <v>56.709999999999994</v>
      </c>
      <c r="K127" s="67" t="str">
        <f>_xlfn.XLOOKUP(C127,'REGIONAIS-GEREX'!$C$3:$C$445,'REGIONAIS-GEREX'!$A$3:$A$445," ")</f>
        <v>GEFAN - Vale e Foz do Rio Itajaí</v>
      </c>
      <c r="L127" s="81"/>
      <c r="M127" s="117">
        <f>Tabela2[[#This Row],[VALOR VSC PERCURSO]]+Tabela2[[#This Row],[VALOR ]]</f>
        <v>56.709999999999994</v>
      </c>
    </row>
    <row r="128" spans="1:13" ht="15.75" customHeight="1" x14ac:dyDescent="0.25">
      <c r="A128" s="8">
        <v>216</v>
      </c>
      <c r="B128" s="28"/>
      <c r="C128" s="53">
        <v>94</v>
      </c>
      <c r="D128" s="53">
        <v>8088</v>
      </c>
      <c r="E128" s="53">
        <v>25386</v>
      </c>
      <c r="F128" s="45">
        <v>67985807</v>
      </c>
      <c r="G128" s="28" t="s">
        <v>71</v>
      </c>
      <c r="H128" s="19">
        <v>118.16</v>
      </c>
      <c r="I128" s="15">
        <v>0</v>
      </c>
      <c r="J128" s="61">
        <f t="shared" si="10"/>
        <v>118.16</v>
      </c>
      <c r="K128" s="67" t="str">
        <f>_xlfn.XLOOKUP(C128,'REGIONAIS-GEREX'!$C$3:$C$445,'REGIONAIS-GEREX'!$A$3:$A$445," ")</f>
        <v>Negócios Digitais</v>
      </c>
      <c r="L128" s="81"/>
      <c r="M128" s="117">
        <f>Tabela2[[#This Row],[VALOR VSC PERCURSO]]+Tabela2[[#This Row],[VALOR ]]</f>
        <v>118.16</v>
      </c>
    </row>
    <row r="129" spans="1:13" ht="15.75" customHeight="1" x14ac:dyDescent="0.25">
      <c r="A129" s="8">
        <v>217</v>
      </c>
      <c r="B129" s="28"/>
      <c r="C129" s="53">
        <v>212</v>
      </c>
      <c r="D129" s="53">
        <v>12161</v>
      </c>
      <c r="E129" s="53">
        <v>25318</v>
      </c>
      <c r="F129" s="45">
        <v>67985807</v>
      </c>
      <c r="G129" s="28" t="s">
        <v>71</v>
      </c>
      <c r="H129" s="19">
        <v>71.94</v>
      </c>
      <c r="I129" s="15">
        <v>0</v>
      </c>
      <c r="J129" s="61">
        <f t="shared" si="10"/>
        <v>71.94</v>
      </c>
      <c r="K129" s="67" t="str">
        <f>_xlfn.XLOOKUP(C129,'REGIONAIS-GEREX'!$C$3:$C$445,'REGIONAIS-GEREX'!$A$3:$A$445," ")</f>
        <v>Planalto Norte e Vale do Itapocu</v>
      </c>
      <c r="L129" s="81"/>
      <c r="M129" s="117">
        <f>Tabela2[[#This Row],[VALOR VSC PERCURSO]]+Tabela2[[#This Row],[VALOR ]]</f>
        <v>71.94</v>
      </c>
    </row>
    <row r="130" spans="1:13" ht="15.75" customHeight="1" x14ac:dyDescent="0.25">
      <c r="A130" s="8">
        <v>218</v>
      </c>
      <c r="B130" s="28"/>
      <c r="C130" s="53">
        <v>92</v>
      </c>
      <c r="D130" s="53">
        <v>13316</v>
      </c>
      <c r="E130" s="53">
        <v>25386</v>
      </c>
      <c r="F130" s="45">
        <v>67985807</v>
      </c>
      <c r="G130" s="28" t="s">
        <v>71</v>
      </c>
      <c r="H130" s="19">
        <v>74.319999999999993</v>
      </c>
      <c r="I130" s="15">
        <v>0</v>
      </c>
      <c r="J130" s="61">
        <f t="shared" si="10"/>
        <v>74.319999999999993</v>
      </c>
      <c r="K130" s="67" t="str">
        <f>_xlfn.XLOOKUP(C130,'REGIONAIS-GEREX'!$C$3:$C$445,'REGIONAIS-GEREX'!$A$3:$A$445," ")</f>
        <v>Negócios Digitais</v>
      </c>
      <c r="L130" s="81"/>
      <c r="M130" s="117">
        <f>Tabela2[[#This Row],[VALOR VSC PERCURSO]]+Tabela2[[#This Row],[VALOR ]]</f>
        <v>74.319999999999993</v>
      </c>
    </row>
    <row r="131" spans="1:13" ht="15.75" customHeight="1" x14ac:dyDescent="0.25">
      <c r="A131" s="8">
        <v>219</v>
      </c>
      <c r="B131" s="28"/>
      <c r="C131" s="53">
        <v>856</v>
      </c>
      <c r="D131" s="53">
        <v>8264</v>
      </c>
      <c r="E131" s="53">
        <v>25318</v>
      </c>
      <c r="F131" s="45">
        <v>67985807</v>
      </c>
      <c r="G131" s="28" t="s">
        <v>71</v>
      </c>
      <c r="H131" s="19">
        <v>40.72</v>
      </c>
      <c r="I131" s="15">
        <v>0</v>
      </c>
      <c r="J131" s="61">
        <f t="shared" si="10"/>
        <v>40.72</v>
      </c>
      <c r="K131" s="67" t="str">
        <f>_xlfn.XLOOKUP(C131,'REGIONAIS-GEREX'!$C$3:$C$445,'REGIONAIS-GEREX'!$A$3:$A$445," ")</f>
        <v>GEFAN - SAFE</v>
      </c>
      <c r="L131" s="81"/>
      <c r="M131" s="117">
        <f>Tabela2[[#This Row],[VALOR VSC PERCURSO]]+Tabela2[[#This Row],[VALOR ]]</f>
        <v>40.72</v>
      </c>
    </row>
    <row r="132" spans="1:13" ht="15.75" customHeight="1" x14ac:dyDescent="0.25">
      <c r="A132" s="8">
        <v>220</v>
      </c>
      <c r="B132" s="28"/>
      <c r="C132" s="53">
        <v>94</v>
      </c>
      <c r="D132" s="53">
        <v>8088</v>
      </c>
      <c r="E132" s="53">
        <v>25386</v>
      </c>
      <c r="F132" s="45">
        <v>67985807</v>
      </c>
      <c r="G132" s="28" t="s">
        <v>71</v>
      </c>
      <c r="H132" s="19">
        <v>223.17</v>
      </c>
      <c r="I132" s="15">
        <v>0</v>
      </c>
      <c r="J132" s="61">
        <f t="shared" si="10"/>
        <v>223.17</v>
      </c>
      <c r="K132" s="67" t="str">
        <f>_xlfn.XLOOKUP(C132,'REGIONAIS-GEREX'!$C$3:$C$445,'REGIONAIS-GEREX'!$A$3:$A$445," ")</f>
        <v>Negócios Digitais</v>
      </c>
      <c r="L132" s="81"/>
      <c r="M132" s="117">
        <f>Tabela2[[#This Row],[VALOR VSC PERCURSO]]+Tabela2[[#This Row],[VALOR ]]</f>
        <v>223.17</v>
      </c>
    </row>
    <row r="133" spans="1:13" ht="15.75" customHeight="1" x14ac:dyDescent="0.25">
      <c r="A133" s="8">
        <v>221</v>
      </c>
      <c r="B133" s="28"/>
      <c r="C133" s="53">
        <v>8002</v>
      </c>
      <c r="D133" s="53">
        <v>8264</v>
      </c>
      <c r="E133" s="53">
        <v>25318</v>
      </c>
      <c r="F133" s="45">
        <v>67985807</v>
      </c>
      <c r="G133" s="28" t="s">
        <v>71</v>
      </c>
      <c r="H133" s="19">
        <v>201.96</v>
      </c>
      <c r="I133" s="15">
        <v>0</v>
      </c>
      <c r="J133" s="61">
        <f t="shared" si="10"/>
        <v>201.96</v>
      </c>
      <c r="K133" s="67" t="str">
        <f>_xlfn.XLOOKUP(C133,'REGIONAIS-GEREX'!$C$3:$C$445,'REGIONAIS-GEREX'!$A$3:$A$445," ")</f>
        <v>GEFAN - SAFE</v>
      </c>
      <c r="L133" s="81"/>
      <c r="M133" s="117">
        <f>Tabela2[[#This Row],[VALOR VSC PERCURSO]]+Tabela2[[#This Row],[VALOR ]]</f>
        <v>201.96</v>
      </c>
    </row>
    <row r="134" spans="1:13" ht="15.75" customHeight="1" x14ac:dyDescent="0.25">
      <c r="A134" s="8">
        <v>222</v>
      </c>
      <c r="B134" s="28"/>
      <c r="C134" s="53">
        <v>8002</v>
      </c>
      <c r="D134" s="53">
        <v>8264</v>
      </c>
      <c r="E134" s="53">
        <v>25318</v>
      </c>
      <c r="F134" s="45">
        <v>67985807</v>
      </c>
      <c r="G134" s="28" t="s">
        <v>71</v>
      </c>
      <c r="H134" s="19">
        <v>216.69</v>
      </c>
      <c r="I134" s="15">
        <v>0</v>
      </c>
      <c r="J134" s="61">
        <f t="shared" si="10"/>
        <v>216.69</v>
      </c>
      <c r="K134" s="67" t="str">
        <f>_xlfn.XLOOKUP(C134,'REGIONAIS-GEREX'!$C$3:$C$445,'REGIONAIS-GEREX'!$A$3:$A$445," ")</f>
        <v>GEFAN - SAFE</v>
      </c>
      <c r="L134" s="81"/>
      <c r="M134" s="117">
        <f>Tabela2[[#This Row],[VALOR VSC PERCURSO]]+Tabela2[[#This Row],[VALOR ]]</f>
        <v>216.69</v>
      </c>
    </row>
    <row r="135" spans="1:13" ht="15.75" customHeight="1" x14ac:dyDescent="0.25">
      <c r="A135" s="8">
        <v>223</v>
      </c>
      <c r="B135" s="28"/>
      <c r="C135" s="53">
        <v>206</v>
      </c>
      <c r="D135" s="53">
        <v>12161</v>
      </c>
      <c r="E135" s="53">
        <v>25318</v>
      </c>
      <c r="F135" s="45">
        <v>67985807</v>
      </c>
      <c r="G135" s="28" t="s">
        <v>71</v>
      </c>
      <c r="H135" s="19">
        <v>108.76</v>
      </c>
      <c r="I135" s="15">
        <v>0</v>
      </c>
      <c r="J135" s="61">
        <f t="shared" si="10"/>
        <v>108.76</v>
      </c>
      <c r="K135" s="67" t="str">
        <f>_xlfn.XLOOKUP(C135,'REGIONAIS-GEREX'!$C$3:$C$445,'REGIONAIS-GEREX'!$A$3:$A$445," ")</f>
        <v>Extremo Oeste e Oeste</v>
      </c>
      <c r="L135" s="81"/>
      <c r="M135" s="117">
        <f>Tabela2[[#This Row],[VALOR VSC PERCURSO]]+Tabela2[[#This Row],[VALOR ]]</f>
        <v>108.76</v>
      </c>
    </row>
    <row r="136" spans="1:13" ht="15.75" customHeight="1" x14ac:dyDescent="0.25">
      <c r="A136" s="8">
        <v>224</v>
      </c>
      <c r="B136" s="28"/>
      <c r="C136" s="53">
        <v>92</v>
      </c>
      <c r="D136" s="53">
        <v>13316</v>
      </c>
      <c r="E136" s="53">
        <v>25386</v>
      </c>
      <c r="F136" s="45">
        <v>67985807</v>
      </c>
      <c r="G136" s="28" t="s">
        <v>71</v>
      </c>
      <c r="H136" s="19">
        <v>107.25</v>
      </c>
      <c r="I136" s="15">
        <v>0</v>
      </c>
      <c r="J136" s="61">
        <f t="shared" si="10"/>
        <v>107.25</v>
      </c>
      <c r="K136" s="67" t="str">
        <f>_xlfn.XLOOKUP(C136,'REGIONAIS-GEREX'!$C$3:$C$445,'REGIONAIS-GEREX'!$A$3:$A$445," ")</f>
        <v>Negócios Digitais</v>
      </c>
      <c r="L136" s="81"/>
      <c r="M136" s="117">
        <f>Tabela2[[#This Row],[VALOR VSC PERCURSO]]+Tabela2[[#This Row],[VALOR ]]</f>
        <v>107.25</v>
      </c>
    </row>
    <row r="137" spans="1:13" ht="15.75" customHeight="1" x14ac:dyDescent="0.25">
      <c r="A137" s="8">
        <v>225</v>
      </c>
      <c r="B137" s="28"/>
      <c r="C137" s="53">
        <v>4004</v>
      </c>
      <c r="D137" s="53">
        <v>8264</v>
      </c>
      <c r="E137" s="53">
        <v>25318</v>
      </c>
      <c r="F137" s="45">
        <v>67985807</v>
      </c>
      <c r="G137" s="28" t="s">
        <v>71</v>
      </c>
      <c r="H137" s="19">
        <v>63.69</v>
      </c>
      <c r="I137" s="15">
        <v>0</v>
      </c>
      <c r="J137" s="61">
        <f t="shared" si="10"/>
        <v>63.69</v>
      </c>
      <c r="K137" s="67" t="str">
        <f>_xlfn.XLOOKUP(C137,'REGIONAIS-GEREX'!$C$3:$C$445,'REGIONAIS-GEREX'!$A$3:$A$445," ")</f>
        <v>GEFAN - Vale e Foz do Rio Itajaí</v>
      </c>
      <c r="L137" s="81"/>
      <c r="M137" s="117">
        <f>Tabela2[[#This Row],[VALOR VSC PERCURSO]]+Tabela2[[#This Row],[VALOR ]]</f>
        <v>63.69</v>
      </c>
    </row>
    <row r="138" spans="1:13" ht="15.75" customHeight="1" x14ac:dyDescent="0.25">
      <c r="A138" s="8">
        <v>226</v>
      </c>
      <c r="B138" s="28"/>
      <c r="C138" s="53">
        <v>73</v>
      </c>
      <c r="D138" s="53">
        <v>7638</v>
      </c>
      <c r="E138" s="53">
        <v>25386</v>
      </c>
      <c r="F138" s="45">
        <v>67985807</v>
      </c>
      <c r="G138" s="28" t="s">
        <v>71</v>
      </c>
      <c r="H138" s="19">
        <v>78.39</v>
      </c>
      <c r="I138" s="15">
        <v>0</v>
      </c>
      <c r="J138" s="61">
        <f t="shared" si="10"/>
        <v>78.39</v>
      </c>
      <c r="K138" s="67" t="str">
        <f>_xlfn.XLOOKUP(C138,'REGIONAIS-GEREX'!$C$3:$C$445,'REGIONAIS-GEREX'!$A$3:$A$445," ")</f>
        <v>Institutos SENAI de Inovação e Tecnologia</v>
      </c>
      <c r="L138" s="81"/>
      <c r="M138" s="117">
        <f>Tabela2[[#This Row],[VALOR VSC PERCURSO]]+Tabela2[[#This Row],[VALOR ]]</f>
        <v>78.39</v>
      </c>
    </row>
    <row r="139" spans="1:13" ht="15.75" customHeight="1" x14ac:dyDescent="0.25">
      <c r="A139" s="8">
        <v>227</v>
      </c>
      <c r="B139" s="28"/>
      <c r="C139" s="53">
        <v>92</v>
      </c>
      <c r="D139" s="53">
        <v>13316</v>
      </c>
      <c r="E139" s="53">
        <v>25386</v>
      </c>
      <c r="F139" s="45">
        <v>67985807</v>
      </c>
      <c r="G139" s="28" t="s">
        <v>71</v>
      </c>
      <c r="H139" s="19">
        <v>97.42</v>
      </c>
      <c r="I139" s="15">
        <v>0</v>
      </c>
      <c r="J139" s="61">
        <f t="shared" si="10"/>
        <v>97.42</v>
      </c>
      <c r="K139" s="67" t="str">
        <f>_xlfn.XLOOKUP(C139,'REGIONAIS-GEREX'!$C$3:$C$445,'REGIONAIS-GEREX'!$A$3:$A$445," ")</f>
        <v>Negócios Digitais</v>
      </c>
      <c r="L139" s="81"/>
      <c r="M139" s="117">
        <f>Tabela2[[#This Row],[VALOR VSC PERCURSO]]+Tabela2[[#This Row],[VALOR ]]</f>
        <v>97.42</v>
      </c>
    </row>
    <row r="140" spans="1:13" ht="15.75" customHeight="1" x14ac:dyDescent="0.25">
      <c r="A140" s="8">
        <v>228</v>
      </c>
      <c r="B140" s="28"/>
      <c r="C140" s="53">
        <v>542</v>
      </c>
      <c r="D140" s="53">
        <v>8264</v>
      </c>
      <c r="E140" s="53">
        <v>25318</v>
      </c>
      <c r="F140" s="45">
        <v>67985807</v>
      </c>
      <c r="G140" s="28" t="s">
        <v>71</v>
      </c>
      <c r="H140" s="19">
        <v>32.78</v>
      </c>
      <c r="I140" s="15">
        <v>0</v>
      </c>
      <c r="J140" s="61">
        <f t="shared" si="10"/>
        <v>32.78</v>
      </c>
      <c r="K140" s="67" t="str">
        <f>_xlfn.XLOOKUP(C140,'REGIONAIS-GEREX'!$C$3:$C$445,'REGIONAIS-GEREX'!$A$3:$A$445," ")</f>
        <v>GEFAN - Sul e Sudeste</v>
      </c>
      <c r="L140" s="81"/>
      <c r="M140" s="117">
        <f>Tabela2[[#This Row],[VALOR VSC PERCURSO]]+Tabela2[[#This Row],[VALOR ]]</f>
        <v>32.78</v>
      </c>
    </row>
    <row r="141" spans="1:13" ht="15.75" customHeight="1" x14ac:dyDescent="0.25">
      <c r="A141" s="8">
        <v>229</v>
      </c>
      <c r="B141" s="28"/>
      <c r="C141" s="53">
        <v>100</v>
      </c>
      <c r="D141" s="53">
        <v>7980</v>
      </c>
      <c r="E141" s="53">
        <v>25318</v>
      </c>
      <c r="F141" s="45">
        <v>67985807</v>
      </c>
      <c r="G141" s="28" t="s">
        <v>71</v>
      </c>
      <c r="H141" s="19">
        <v>333.38</v>
      </c>
      <c r="I141" s="15">
        <v>0</v>
      </c>
      <c r="J141" s="61">
        <f t="shared" si="10"/>
        <v>333.38</v>
      </c>
      <c r="K141" s="67" t="str">
        <f>_xlfn.XLOOKUP(C141,'REGIONAIS-GEREX'!$C$3:$C$445,'REGIONAIS-GEREX'!$A$3:$A$445," ")</f>
        <v>SEDE</v>
      </c>
      <c r="L141" s="81"/>
      <c r="M141" s="117">
        <f>Tabela2[[#This Row],[VALOR VSC PERCURSO]]+Tabela2[[#This Row],[VALOR ]]</f>
        <v>333.38</v>
      </c>
    </row>
    <row r="142" spans="1:13" ht="15.75" customHeight="1" x14ac:dyDescent="0.25">
      <c r="A142" s="8">
        <v>230</v>
      </c>
      <c r="B142" s="28"/>
      <c r="C142" s="53">
        <v>8010</v>
      </c>
      <c r="D142" s="53">
        <v>8264</v>
      </c>
      <c r="E142" s="53">
        <v>25318</v>
      </c>
      <c r="F142" s="45">
        <v>67985807</v>
      </c>
      <c r="G142" s="28" t="s">
        <v>71</v>
      </c>
      <c r="H142" s="19">
        <v>55.03</v>
      </c>
      <c r="I142" s="15">
        <v>0</v>
      </c>
      <c r="J142" s="61">
        <f t="shared" si="10"/>
        <v>55.03</v>
      </c>
      <c r="K142" s="67" t="str">
        <f>_xlfn.XLOOKUP(C142,'REGIONAIS-GEREX'!$C$3:$C$445,'REGIONAIS-GEREX'!$A$3:$A$445," ")</f>
        <v>GEFAN - SAFE</v>
      </c>
      <c r="L142" s="81"/>
      <c r="M142" s="117">
        <f>Tabela2[[#This Row],[VALOR VSC PERCURSO]]+Tabela2[[#This Row],[VALOR ]]</f>
        <v>55.03</v>
      </c>
    </row>
    <row r="143" spans="1:13" ht="15.75" customHeight="1" x14ac:dyDescent="0.25">
      <c r="A143" s="8">
        <v>231</v>
      </c>
      <c r="B143" s="28"/>
      <c r="C143" s="53">
        <v>214</v>
      </c>
      <c r="D143" s="53">
        <v>12161</v>
      </c>
      <c r="E143" s="53">
        <v>25318</v>
      </c>
      <c r="F143" s="45">
        <v>67985807</v>
      </c>
      <c r="G143" s="28" t="s">
        <v>71</v>
      </c>
      <c r="H143" s="19">
        <v>301.98</v>
      </c>
      <c r="I143" s="15">
        <v>0</v>
      </c>
      <c r="J143" s="61">
        <f t="shared" si="10"/>
        <v>301.98</v>
      </c>
      <c r="K143" s="67" t="str">
        <f>_xlfn.XLOOKUP(C143,'REGIONAIS-GEREX'!$C$3:$C$445,'REGIONAIS-GEREX'!$A$3:$A$445," ")</f>
        <v>Norte Nordeste</v>
      </c>
      <c r="L143" s="81"/>
      <c r="M143" s="117">
        <f>Tabela2[[#This Row],[VALOR VSC PERCURSO]]+Tabela2[[#This Row],[VALOR ]]</f>
        <v>301.98</v>
      </c>
    </row>
    <row r="144" spans="1:13" ht="15.75" customHeight="1" x14ac:dyDescent="0.25">
      <c r="A144" s="8">
        <v>232</v>
      </c>
      <c r="B144" s="28"/>
      <c r="C144" s="53">
        <v>214</v>
      </c>
      <c r="D144" s="53">
        <v>12161</v>
      </c>
      <c r="E144" s="53">
        <v>25318</v>
      </c>
      <c r="F144" s="45">
        <v>67985807</v>
      </c>
      <c r="G144" s="28" t="s">
        <v>71</v>
      </c>
      <c r="H144" s="19">
        <v>301.98</v>
      </c>
      <c r="I144" s="15">
        <v>0</v>
      </c>
      <c r="J144" s="61">
        <f t="shared" si="10"/>
        <v>301.98</v>
      </c>
      <c r="K144" s="67" t="str">
        <f>_xlfn.XLOOKUP(C144,'REGIONAIS-GEREX'!$C$3:$C$445,'REGIONAIS-GEREX'!$A$3:$A$445," ")</f>
        <v>Norte Nordeste</v>
      </c>
      <c r="L144" s="81"/>
      <c r="M144" s="117">
        <f>Tabela2[[#This Row],[VALOR VSC PERCURSO]]+Tabela2[[#This Row],[VALOR ]]</f>
        <v>301.98</v>
      </c>
    </row>
    <row r="145" spans="1:13" ht="15.75" customHeight="1" x14ac:dyDescent="0.25">
      <c r="A145" s="8">
        <v>233</v>
      </c>
      <c r="B145" s="28"/>
      <c r="C145" s="53">
        <v>214</v>
      </c>
      <c r="D145" s="53">
        <v>12161</v>
      </c>
      <c r="E145" s="53">
        <v>25318</v>
      </c>
      <c r="F145" s="45">
        <v>67985807</v>
      </c>
      <c r="G145" s="28" t="s">
        <v>71</v>
      </c>
      <c r="H145" s="19">
        <v>172.38000000000002</v>
      </c>
      <c r="I145" s="15">
        <v>0</v>
      </c>
      <c r="J145" s="61">
        <f t="shared" si="10"/>
        <v>172.38000000000002</v>
      </c>
      <c r="K145" s="67" t="str">
        <f>_xlfn.XLOOKUP(C145,'REGIONAIS-GEREX'!$C$3:$C$445,'REGIONAIS-GEREX'!$A$3:$A$445," ")</f>
        <v>Norte Nordeste</v>
      </c>
      <c r="L145" s="81"/>
      <c r="M145" s="117">
        <f>Tabela2[[#This Row],[VALOR VSC PERCURSO]]+Tabela2[[#This Row],[VALOR ]]</f>
        <v>172.38000000000002</v>
      </c>
    </row>
    <row r="146" spans="1:13" ht="15.75" customHeight="1" x14ac:dyDescent="0.25">
      <c r="A146" s="8">
        <v>234</v>
      </c>
      <c r="B146" s="28"/>
      <c r="C146" s="53">
        <v>214</v>
      </c>
      <c r="D146" s="53">
        <v>12161</v>
      </c>
      <c r="E146" s="53">
        <v>25318</v>
      </c>
      <c r="F146" s="45">
        <v>67985807</v>
      </c>
      <c r="G146" s="28" t="s">
        <v>71</v>
      </c>
      <c r="H146" s="19">
        <v>300.82</v>
      </c>
      <c r="I146" s="15">
        <v>0</v>
      </c>
      <c r="J146" s="61">
        <f t="shared" si="10"/>
        <v>300.82</v>
      </c>
      <c r="K146" s="67" t="str">
        <f>_xlfn.XLOOKUP(C146,'REGIONAIS-GEREX'!$C$3:$C$445,'REGIONAIS-GEREX'!$A$3:$A$445," ")</f>
        <v>Norte Nordeste</v>
      </c>
      <c r="L146" s="81"/>
      <c r="M146" s="117">
        <f>Tabela2[[#This Row],[VALOR VSC PERCURSO]]+Tabela2[[#This Row],[VALOR ]]</f>
        <v>300.82</v>
      </c>
    </row>
    <row r="147" spans="1:13" ht="15.75" customHeight="1" x14ac:dyDescent="0.25">
      <c r="A147" s="8">
        <v>235</v>
      </c>
      <c r="B147" s="28"/>
      <c r="C147" s="53">
        <v>838</v>
      </c>
      <c r="D147" s="53">
        <v>8264</v>
      </c>
      <c r="E147" s="53">
        <v>25318</v>
      </c>
      <c r="F147" s="45">
        <v>67985807</v>
      </c>
      <c r="G147" s="28" t="s">
        <v>71</v>
      </c>
      <c r="H147" s="19">
        <v>34.53</v>
      </c>
      <c r="I147" s="15">
        <v>0</v>
      </c>
      <c r="J147" s="61">
        <f t="shared" si="10"/>
        <v>34.53</v>
      </c>
      <c r="K147" s="67" t="str">
        <f>_xlfn.XLOOKUP(C147,'REGIONAIS-GEREX'!$C$3:$C$445,'REGIONAIS-GEREX'!$A$3:$A$445," ")</f>
        <v>GEFAN - Alto Vale e Serra</v>
      </c>
      <c r="L147" s="81"/>
      <c r="M147" s="117">
        <f>Tabela2[[#This Row],[VALOR VSC PERCURSO]]+Tabela2[[#This Row],[VALOR ]]</f>
        <v>34.53</v>
      </c>
    </row>
    <row r="148" spans="1:13" ht="15.75" customHeight="1" x14ac:dyDescent="0.25">
      <c r="A148" s="8">
        <v>236</v>
      </c>
      <c r="B148" s="28"/>
      <c r="C148" s="53">
        <v>214</v>
      </c>
      <c r="D148" s="53">
        <v>12161</v>
      </c>
      <c r="E148" s="53">
        <v>25318</v>
      </c>
      <c r="F148" s="45">
        <v>67985807</v>
      </c>
      <c r="G148" s="28" t="s">
        <v>71</v>
      </c>
      <c r="H148" s="19">
        <v>273.78000000000003</v>
      </c>
      <c r="I148" s="15">
        <v>0</v>
      </c>
      <c r="J148" s="61">
        <f t="shared" si="10"/>
        <v>273.78000000000003</v>
      </c>
      <c r="K148" s="67" t="str">
        <f>_xlfn.XLOOKUP(C148,'REGIONAIS-GEREX'!$C$3:$C$445,'REGIONAIS-GEREX'!$A$3:$A$445," ")</f>
        <v>Norte Nordeste</v>
      </c>
      <c r="L148" s="81"/>
      <c r="M148" s="117">
        <f>Tabela2[[#This Row],[VALOR VSC PERCURSO]]+Tabela2[[#This Row],[VALOR ]]</f>
        <v>273.78000000000003</v>
      </c>
    </row>
    <row r="149" spans="1:13" ht="15.75" customHeight="1" x14ac:dyDescent="0.25">
      <c r="A149" s="8">
        <v>237</v>
      </c>
      <c r="B149" s="28"/>
      <c r="C149" s="53">
        <v>214</v>
      </c>
      <c r="D149" s="53">
        <v>12161</v>
      </c>
      <c r="E149" s="53">
        <v>25318</v>
      </c>
      <c r="F149" s="45">
        <v>67985807</v>
      </c>
      <c r="G149" s="28" t="s">
        <v>71</v>
      </c>
      <c r="H149" s="19">
        <v>217.8</v>
      </c>
      <c r="I149" s="15">
        <v>0</v>
      </c>
      <c r="J149" s="61">
        <f t="shared" si="10"/>
        <v>217.8</v>
      </c>
      <c r="K149" s="67" t="str">
        <f>_xlfn.XLOOKUP(C149,'REGIONAIS-GEREX'!$C$3:$C$445,'REGIONAIS-GEREX'!$A$3:$A$445," ")</f>
        <v>Norte Nordeste</v>
      </c>
      <c r="L149" s="81"/>
      <c r="M149" s="117">
        <f>Tabela2[[#This Row],[VALOR VSC PERCURSO]]+Tabela2[[#This Row],[VALOR ]]</f>
        <v>217.8</v>
      </c>
    </row>
    <row r="150" spans="1:13" ht="15.75" customHeight="1" x14ac:dyDescent="0.25">
      <c r="A150" s="8">
        <v>238</v>
      </c>
      <c r="B150" s="28"/>
      <c r="C150" s="53">
        <v>214</v>
      </c>
      <c r="D150" s="53">
        <v>12161</v>
      </c>
      <c r="E150" s="53">
        <v>25318</v>
      </c>
      <c r="F150" s="45">
        <v>67985807</v>
      </c>
      <c r="G150" s="28" t="s">
        <v>71</v>
      </c>
      <c r="H150" s="19">
        <v>382.25</v>
      </c>
      <c r="I150" s="15">
        <v>0</v>
      </c>
      <c r="J150" s="61">
        <f t="shared" si="10"/>
        <v>382.25</v>
      </c>
      <c r="K150" s="67" t="str">
        <f>_xlfn.XLOOKUP(C150,'REGIONAIS-GEREX'!$C$3:$C$445,'REGIONAIS-GEREX'!$A$3:$A$445," ")</f>
        <v>Norte Nordeste</v>
      </c>
      <c r="L150" s="81"/>
      <c r="M150" s="117">
        <f>Tabela2[[#This Row],[VALOR VSC PERCURSO]]+Tabela2[[#This Row],[VALOR ]]</f>
        <v>382.25</v>
      </c>
    </row>
    <row r="151" spans="1:13" ht="15.75" customHeight="1" x14ac:dyDescent="0.25">
      <c r="A151" s="8">
        <v>239</v>
      </c>
      <c r="B151" s="10"/>
      <c r="C151" s="10">
        <v>214</v>
      </c>
      <c r="D151" s="10">
        <v>12161</v>
      </c>
      <c r="E151" s="10">
        <v>25318</v>
      </c>
      <c r="F151" s="45">
        <v>67985807</v>
      </c>
      <c r="G151" s="28" t="s">
        <v>71</v>
      </c>
      <c r="H151" s="19">
        <v>429.52000000000004</v>
      </c>
      <c r="I151" s="15">
        <v>0</v>
      </c>
      <c r="J151" s="61">
        <f t="shared" si="10"/>
        <v>429.52000000000004</v>
      </c>
      <c r="K151" s="67" t="str">
        <f>_xlfn.XLOOKUP(C151,'REGIONAIS-GEREX'!$C$3:$C$445,'REGIONAIS-GEREX'!$A$3:$A$445," ")</f>
        <v>Norte Nordeste</v>
      </c>
      <c r="L151" s="81"/>
      <c r="M151" s="117">
        <f>Tabela2[[#This Row],[VALOR VSC PERCURSO]]+Tabela2[[#This Row],[VALOR ]]</f>
        <v>429.52000000000004</v>
      </c>
    </row>
    <row r="152" spans="1:13" ht="15.75" customHeight="1" x14ac:dyDescent="0.25">
      <c r="A152" s="8">
        <v>240</v>
      </c>
      <c r="B152" s="10"/>
      <c r="C152" s="10">
        <v>214</v>
      </c>
      <c r="D152" s="10">
        <v>12161</v>
      </c>
      <c r="E152" s="10">
        <v>25318</v>
      </c>
      <c r="F152" s="45">
        <v>67985807</v>
      </c>
      <c r="G152" s="28" t="s">
        <v>71</v>
      </c>
      <c r="H152" s="19">
        <v>379.39</v>
      </c>
      <c r="I152" s="15">
        <v>0</v>
      </c>
      <c r="J152" s="61">
        <f t="shared" si="10"/>
        <v>379.39</v>
      </c>
      <c r="K152" s="67" t="str">
        <f>_xlfn.XLOOKUP(C152,'REGIONAIS-GEREX'!$C$3:$C$445,'REGIONAIS-GEREX'!$A$3:$A$445," ")</f>
        <v>Norte Nordeste</v>
      </c>
      <c r="L152" s="81"/>
      <c r="M152" s="117">
        <f>Tabela2[[#This Row],[VALOR VSC PERCURSO]]+Tabela2[[#This Row],[VALOR ]]</f>
        <v>379.39</v>
      </c>
    </row>
    <row r="153" spans="1:13" ht="15.75" customHeight="1" x14ac:dyDescent="0.25">
      <c r="A153" s="8">
        <v>241</v>
      </c>
      <c r="B153" s="10"/>
      <c r="C153" s="10">
        <v>214</v>
      </c>
      <c r="D153" s="10">
        <v>12161</v>
      </c>
      <c r="E153" s="10">
        <v>25318</v>
      </c>
      <c r="F153" s="45">
        <v>67985807</v>
      </c>
      <c r="G153" s="28" t="s">
        <v>71</v>
      </c>
      <c r="H153" s="19">
        <v>382.25</v>
      </c>
      <c r="I153" s="15">
        <v>0</v>
      </c>
      <c r="J153" s="61">
        <f t="shared" si="10"/>
        <v>382.25</v>
      </c>
      <c r="K153" s="67" t="str">
        <f>_xlfn.XLOOKUP(C153,'REGIONAIS-GEREX'!$C$3:$C$445,'REGIONAIS-GEREX'!$A$3:$A$445," ")</f>
        <v>Norte Nordeste</v>
      </c>
      <c r="L153" s="81"/>
      <c r="M153" s="117">
        <f>Tabela2[[#This Row],[VALOR VSC PERCURSO]]+Tabela2[[#This Row],[VALOR ]]</f>
        <v>382.25</v>
      </c>
    </row>
    <row r="154" spans="1:13" ht="15.75" customHeight="1" x14ac:dyDescent="0.25">
      <c r="A154" s="8">
        <v>242</v>
      </c>
      <c r="B154" s="10"/>
      <c r="C154" s="10">
        <v>214</v>
      </c>
      <c r="D154" s="10">
        <v>12161</v>
      </c>
      <c r="E154" s="10">
        <v>25318</v>
      </c>
      <c r="F154" s="45">
        <v>67985807</v>
      </c>
      <c r="G154" s="28" t="s">
        <v>71</v>
      </c>
      <c r="H154" s="19">
        <v>382.25</v>
      </c>
      <c r="I154" s="15">
        <v>0</v>
      </c>
      <c r="J154" s="61">
        <f t="shared" si="10"/>
        <v>382.25</v>
      </c>
      <c r="K154" s="67" t="str">
        <f>_xlfn.XLOOKUP(C154,'REGIONAIS-GEREX'!$C$3:$C$445,'REGIONAIS-GEREX'!$A$3:$A$445," ")</f>
        <v>Norte Nordeste</v>
      </c>
      <c r="L154" s="81"/>
      <c r="M154" s="117">
        <f>Tabela2[[#This Row],[VALOR VSC PERCURSO]]+Tabela2[[#This Row],[VALOR ]]</f>
        <v>382.25</v>
      </c>
    </row>
    <row r="155" spans="1:13" ht="15.75" customHeight="1" x14ac:dyDescent="0.25">
      <c r="A155" s="8">
        <v>243</v>
      </c>
      <c r="B155" s="10"/>
      <c r="C155" s="10">
        <v>215</v>
      </c>
      <c r="D155" s="10">
        <v>12161</v>
      </c>
      <c r="E155" s="10">
        <v>25318</v>
      </c>
      <c r="F155" s="45">
        <v>67985807</v>
      </c>
      <c r="G155" s="28" t="s">
        <v>71</v>
      </c>
      <c r="H155" s="19">
        <v>236.29000000000002</v>
      </c>
      <c r="I155" s="15">
        <v>0</v>
      </c>
      <c r="J155" s="61">
        <f t="shared" si="10"/>
        <v>236.29000000000002</v>
      </c>
      <c r="K155" s="67" t="str">
        <f>_xlfn.XLOOKUP(C155,'REGIONAIS-GEREX'!$C$3:$C$445,'REGIONAIS-GEREX'!$A$3:$A$445," ")</f>
        <v>Serra Catarinense</v>
      </c>
      <c r="L155" s="81"/>
      <c r="M155" s="117">
        <f>Tabela2[[#This Row],[VALOR VSC PERCURSO]]+Tabela2[[#This Row],[VALOR ]]</f>
        <v>236.29000000000002</v>
      </c>
    </row>
    <row r="156" spans="1:13" ht="15.75" customHeight="1" x14ac:dyDescent="0.25">
      <c r="A156" s="8">
        <v>244</v>
      </c>
      <c r="B156" s="10"/>
      <c r="C156" s="10">
        <v>4080</v>
      </c>
      <c r="D156" s="10">
        <v>8264</v>
      </c>
      <c r="E156" s="10">
        <v>25318</v>
      </c>
      <c r="F156" s="45">
        <v>67985807</v>
      </c>
      <c r="G156" s="28" t="s">
        <v>71</v>
      </c>
      <c r="H156" s="19">
        <v>36.21</v>
      </c>
      <c r="I156" s="15">
        <v>0</v>
      </c>
      <c r="J156" s="61">
        <f t="shared" si="10"/>
        <v>36.21</v>
      </c>
      <c r="K156" s="67" t="str">
        <f>_xlfn.XLOOKUP(C156,'REGIONAIS-GEREX'!$C$3:$C$445,'REGIONAIS-GEREX'!$A$3:$A$445," ")</f>
        <v>GEFAN - Sul e Sudeste</v>
      </c>
      <c r="L156" s="81"/>
      <c r="M156" s="117">
        <f>Tabela2[[#This Row],[VALOR VSC PERCURSO]]+Tabela2[[#This Row],[VALOR ]]</f>
        <v>36.21</v>
      </c>
    </row>
    <row r="157" spans="1:13" ht="15.75" customHeight="1" x14ac:dyDescent="0.25">
      <c r="A157" s="8">
        <v>245</v>
      </c>
      <c r="B157" s="10"/>
      <c r="C157" s="10">
        <v>4007</v>
      </c>
      <c r="D157" s="10">
        <v>8264</v>
      </c>
      <c r="E157" s="10">
        <v>25318</v>
      </c>
      <c r="F157" s="45">
        <v>67985807</v>
      </c>
      <c r="G157" s="28" t="s">
        <v>71</v>
      </c>
      <c r="H157" s="19">
        <v>86.34</v>
      </c>
      <c r="I157" s="15">
        <v>0</v>
      </c>
      <c r="J157" s="61">
        <f t="shared" si="10"/>
        <v>86.34</v>
      </c>
      <c r="K157" s="67" t="str">
        <f>_xlfn.XLOOKUP(C157,'REGIONAIS-GEREX'!$C$3:$C$445,'REGIONAIS-GEREX'!$A$3:$A$445," ")</f>
        <v>GEFAN - Centro Norte e Centro Oeste</v>
      </c>
      <c r="L157" s="81"/>
      <c r="M157" s="117">
        <f>Tabela2[[#This Row],[VALOR VSC PERCURSO]]+Tabela2[[#This Row],[VALOR ]]</f>
        <v>86.34</v>
      </c>
    </row>
    <row r="158" spans="1:13" ht="15" customHeight="1" x14ac:dyDescent="0.25">
      <c r="A158" s="8">
        <v>289</v>
      </c>
      <c r="B158" s="13" t="s">
        <v>74</v>
      </c>
      <c r="C158" s="32">
        <v>599</v>
      </c>
      <c r="D158" s="32">
        <v>8243</v>
      </c>
      <c r="E158" s="32">
        <v>25318</v>
      </c>
      <c r="F158" s="13">
        <v>71567232</v>
      </c>
      <c r="G158" s="13" t="s">
        <v>71</v>
      </c>
      <c r="H158" s="16">
        <v>158.6</v>
      </c>
      <c r="I158" s="15">
        <v>0</v>
      </c>
      <c r="J158" s="61">
        <f t="shared" si="10"/>
        <v>158.6</v>
      </c>
      <c r="K158" s="67" t="str">
        <f>_xlfn.XLOOKUP(C158,'REGIONAIS-GEREX'!$C$3:$C$445,'REGIONAIS-GEREX'!$A$3:$A$445," ")</f>
        <v>GEFAN - Norte - Nordeste / Plan. e Vale</v>
      </c>
      <c r="L158" s="81"/>
      <c r="M158" s="117">
        <f>Tabela2[[#This Row],[VALOR VSC PERCURSO]]+Tabela2[[#This Row],[VALOR ]]</f>
        <v>158.6</v>
      </c>
    </row>
    <row r="159" spans="1:13" ht="15" customHeight="1" x14ac:dyDescent="0.25">
      <c r="A159" s="8">
        <v>289</v>
      </c>
      <c r="B159" s="10" t="s">
        <v>773</v>
      </c>
      <c r="C159" s="10">
        <v>440</v>
      </c>
      <c r="D159" s="10">
        <v>8264</v>
      </c>
      <c r="E159" s="10">
        <v>25318</v>
      </c>
      <c r="F159" s="13">
        <v>76703380</v>
      </c>
      <c r="G159" s="13"/>
      <c r="H159" s="15">
        <v>21.39</v>
      </c>
      <c r="I159" s="15">
        <v>0</v>
      </c>
      <c r="J159" s="61">
        <f t="shared" si="10"/>
        <v>21.39</v>
      </c>
      <c r="K159" s="67" t="str">
        <f>_xlfn.XLOOKUP(C159,'REGIONAIS-GEREX'!$C$3:$C$445,'REGIONAIS-GEREX'!$A$3:$A$445," ")</f>
        <v>GEFAN - Norte - Nordeste / Plan. e Vale</v>
      </c>
      <c r="L159" s="81"/>
      <c r="M159" s="117">
        <f>Tabela2[[#This Row],[VALOR VSC PERCURSO]]+Tabela2[[#This Row],[VALOR ]]</f>
        <v>21.39</v>
      </c>
    </row>
    <row r="160" spans="1:13" ht="15" customHeight="1" x14ac:dyDescent="0.25">
      <c r="A160" s="8">
        <v>292</v>
      </c>
      <c r="B160" s="11" t="s">
        <v>75</v>
      </c>
      <c r="C160" s="11"/>
      <c r="D160" s="11"/>
      <c r="E160" s="11"/>
      <c r="F160" s="11">
        <v>10407372</v>
      </c>
      <c r="G160" s="11" t="s">
        <v>76</v>
      </c>
      <c r="H160" s="19">
        <v>228.9</v>
      </c>
      <c r="I160" s="50">
        <v>933.5</v>
      </c>
      <c r="J160" s="61"/>
      <c r="K160" s="67" t="str">
        <f>_xlfn.XLOOKUP(C160,'REGIONAIS-GEREX'!$C$3:$C$445,'REGIONAIS-GEREX'!$A$3:$A$445," ")</f>
        <v xml:space="preserve"> </v>
      </c>
      <c r="L160" s="81"/>
      <c r="M160" s="117">
        <f>Tabela2[[#This Row],[VALOR VSC PERCURSO]]+Tabela2[[#This Row],[VALOR ]]</f>
        <v>1162.4000000000001</v>
      </c>
    </row>
    <row r="161" spans="1:13" ht="15" customHeight="1" x14ac:dyDescent="0.25">
      <c r="A161" s="8">
        <v>293</v>
      </c>
      <c r="B161" s="13" t="s">
        <v>77</v>
      </c>
      <c r="C161" s="13">
        <v>914</v>
      </c>
      <c r="D161" s="10">
        <v>8243</v>
      </c>
      <c r="E161" s="9">
        <v>25318</v>
      </c>
      <c r="F161" s="11">
        <v>10407372</v>
      </c>
      <c r="G161" s="11" t="s">
        <v>76</v>
      </c>
      <c r="H161" s="35">
        <f>$H$160*0.1</f>
        <v>22.89</v>
      </c>
      <c r="I161" s="35">
        <f>$I$160*0.1</f>
        <v>93.350000000000009</v>
      </c>
      <c r="J161" s="61">
        <f t="shared" ref="J161:J166" si="11">SUM(H161+I161)</f>
        <v>116.24000000000001</v>
      </c>
      <c r="K161" s="67" t="str">
        <f>_xlfn.XLOOKUP(C161,'REGIONAIS-GEREX'!$C$3:$C$445,'REGIONAIS-GEREX'!$A$3:$A$445," ")</f>
        <v>GEFAN - Centro Norte e Centro Oeste</v>
      </c>
      <c r="L161" s="81"/>
      <c r="M161" s="117">
        <f>Tabela2[[#This Row],[VALOR VSC PERCURSO]]+Tabela2[[#This Row],[VALOR ]]</f>
        <v>116.24000000000001</v>
      </c>
    </row>
    <row r="162" spans="1:13" ht="15" customHeight="1" x14ac:dyDescent="0.25">
      <c r="A162" s="8">
        <v>294</v>
      </c>
      <c r="B162" s="13" t="s">
        <v>78</v>
      </c>
      <c r="C162" s="9">
        <v>516</v>
      </c>
      <c r="D162" s="10">
        <v>8243</v>
      </c>
      <c r="E162" s="9">
        <v>25318</v>
      </c>
      <c r="F162" s="11">
        <v>10407372</v>
      </c>
      <c r="G162" s="11" t="s">
        <v>76</v>
      </c>
      <c r="H162" s="35">
        <f>$H$160*0.4</f>
        <v>91.56</v>
      </c>
      <c r="I162" s="35">
        <f>$I$160*0.4</f>
        <v>373.40000000000003</v>
      </c>
      <c r="J162" s="61">
        <f t="shared" si="11"/>
        <v>464.96000000000004</v>
      </c>
      <c r="K162" s="67" t="str">
        <f>_xlfn.XLOOKUP(C162,'REGIONAIS-GEREX'!$C$3:$C$445,'REGIONAIS-GEREX'!$A$3:$A$445," ")</f>
        <v>GEFAN - Centro Norte e Centro Oeste</v>
      </c>
      <c r="L162" s="81"/>
      <c r="M162" s="117">
        <f>Tabela2[[#This Row],[VALOR VSC PERCURSO]]+Tabela2[[#This Row],[VALOR ]]</f>
        <v>464.96000000000004</v>
      </c>
    </row>
    <row r="163" spans="1:13" ht="15" customHeight="1" x14ac:dyDescent="0.25">
      <c r="A163" s="8">
        <v>295</v>
      </c>
      <c r="B163" s="13" t="s">
        <v>79</v>
      </c>
      <c r="C163" s="9">
        <v>522</v>
      </c>
      <c r="D163" s="10">
        <v>8243</v>
      </c>
      <c r="E163" s="9">
        <v>25318</v>
      </c>
      <c r="F163" s="11">
        <v>10407372</v>
      </c>
      <c r="G163" s="11" t="s">
        <v>76</v>
      </c>
      <c r="H163" s="35">
        <f>$H$160*0.3</f>
        <v>68.67</v>
      </c>
      <c r="I163" s="35">
        <f>$I$160*0.3</f>
        <v>280.05</v>
      </c>
      <c r="J163" s="61">
        <f t="shared" si="11"/>
        <v>348.72</v>
      </c>
      <c r="K163" s="67" t="str">
        <f>_xlfn.XLOOKUP(C163,'REGIONAIS-GEREX'!$C$3:$C$445,'REGIONAIS-GEREX'!$A$3:$A$445," ")</f>
        <v>GEFAN - Centro Norte e Centro Oeste</v>
      </c>
      <c r="L163" s="81"/>
      <c r="M163" s="117">
        <f>Tabela2[[#This Row],[VALOR VSC PERCURSO]]+Tabela2[[#This Row],[VALOR ]]</f>
        <v>348.72</v>
      </c>
    </row>
    <row r="164" spans="1:13" ht="15" customHeight="1" x14ac:dyDescent="0.25">
      <c r="A164" s="8">
        <v>296</v>
      </c>
      <c r="B164" s="13" t="s">
        <v>80</v>
      </c>
      <c r="C164" s="9">
        <v>515</v>
      </c>
      <c r="D164" s="10">
        <v>8243</v>
      </c>
      <c r="E164" s="9">
        <v>25318</v>
      </c>
      <c r="F164" s="11">
        <v>10407372</v>
      </c>
      <c r="G164" s="11" t="s">
        <v>76</v>
      </c>
      <c r="H164" s="35">
        <f>$H$160*0.2</f>
        <v>45.78</v>
      </c>
      <c r="I164" s="35">
        <f>$I$160*0.2</f>
        <v>186.70000000000002</v>
      </c>
      <c r="J164" s="61">
        <f t="shared" si="11"/>
        <v>232.48000000000002</v>
      </c>
      <c r="K164" s="67" t="str">
        <f>_xlfn.XLOOKUP(C164,'REGIONAIS-GEREX'!$C$3:$C$445,'REGIONAIS-GEREX'!$A$3:$A$445," ")</f>
        <v>GEFAN - Centro Norte e Centro Oeste</v>
      </c>
      <c r="L164" s="81"/>
      <c r="M164" s="117">
        <f>Tabela2[[#This Row],[VALOR VSC PERCURSO]]+Tabela2[[#This Row],[VALOR ]]</f>
        <v>232.48000000000002</v>
      </c>
    </row>
    <row r="165" spans="1:13" ht="15" customHeight="1" x14ac:dyDescent="0.25">
      <c r="A165" s="8">
        <v>302</v>
      </c>
      <c r="B165" s="9" t="s">
        <v>81</v>
      </c>
      <c r="C165" s="9">
        <v>816</v>
      </c>
      <c r="D165" s="9">
        <v>8264</v>
      </c>
      <c r="E165" s="9">
        <v>25318</v>
      </c>
      <c r="F165" s="9">
        <v>67982808</v>
      </c>
      <c r="G165" s="9" t="s">
        <v>71</v>
      </c>
      <c r="H165" s="16">
        <v>29.99</v>
      </c>
      <c r="I165" s="15">
        <v>0</v>
      </c>
      <c r="J165" s="61">
        <f t="shared" si="11"/>
        <v>29.99</v>
      </c>
      <c r="K165" s="67" t="str">
        <f>_xlfn.XLOOKUP(C165,'REGIONAIS-GEREX'!$C$3:$C$445,'REGIONAIS-GEREX'!$A$3:$A$445," ")</f>
        <v>GEFAN - SAFE</v>
      </c>
      <c r="L165" s="81"/>
      <c r="M165" s="117">
        <f>Tabela2[[#This Row],[VALOR VSC PERCURSO]]+Tabela2[[#This Row],[VALOR ]]</f>
        <v>29.99</v>
      </c>
    </row>
    <row r="166" spans="1:13" ht="15" customHeight="1" x14ac:dyDescent="0.25">
      <c r="A166" s="8">
        <v>303</v>
      </c>
      <c r="B166" s="9" t="s">
        <v>82</v>
      </c>
      <c r="C166" s="9">
        <v>100</v>
      </c>
      <c r="D166" s="9">
        <v>9226</v>
      </c>
      <c r="E166" s="9">
        <v>25318</v>
      </c>
      <c r="F166" s="9">
        <v>74758926</v>
      </c>
      <c r="G166" s="9" t="s">
        <v>71</v>
      </c>
      <c r="H166" s="16">
        <v>245.67</v>
      </c>
      <c r="I166" s="15">
        <v>0</v>
      </c>
      <c r="J166" s="61">
        <f t="shared" si="11"/>
        <v>245.67</v>
      </c>
      <c r="K166" s="67" t="str">
        <f>_xlfn.XLOOKUP(C166,'REGIONAIS-GEREX'!$C$3:$C$445,'REGIONAIS-GEREX'!$A$3:$A$445," ")</f>
        <v>SEDE</v>
      </c>
      <c r="L166" s="81"/>
      <c r="M166" s="117">
        <f>Tabela2[[#This Row],[VALOR VSC PERCURSO]]+Tabela2[[#This Row],[VALOR ]]</f>
        <v>245.67</v>
      </c>
    </row>
    <row r="167" spans="1:13" ht="15" customHeight="1" x14ac:dyDescent="0.25">
      <c r="A167" s="8">
        <v>304</v>
      </c>
      <c r="B167" s="46" t="s">
        <v>83</v>
      </c>
      <c r="C167" s="11"/>
      <c r="D167" s="11"/>
      <c r="E167" s="11"/>
      <c r="F167" s="11">
        <v>74759000</v>
      </c>
      <c r="G167" s="46" t="s">
        <v>71</v>
      </c>
      <c r="H167" s="16">
        <v>809.2</v>
      </c>
      <c r="I167" s="15">
        <v>0</v>
      </c>
      <c r="J167" s="61"/>
      <c r="K167" s="67" t="str">
        <f>_xlfn.XLOOKUP(C167,'REGIONAIS-GEREX'!$C$3:$C$445,'REGIONAIS-GEREX'!$A$3:$A$445," ")</f>
        <v xml:space="preserve"> </v>
      </c>
      <c r="L167" s="81"/>
      <c r="M167" s="117">
        <f>Tabela2[[#This Row],[VALOR VSC PERCURSO]]+Tabela2[[#This Row],[VALOR ]]</f>
        <v>809.2</v>
      </c>
    </row>
    <row r="168" spans="1:13" ht="15" customHeight="1" x14ac:dyDescent="0.25">
      <c r="A168" s="8">
        <v>305</v>
      </c>
      <c r="B168" s="46" t="s">
        <v>668</v>
      </c>
      <c r="C168" s="11" t="s">
        <v>665</v>
      </c>
      <c r="D168" s="11">
        <v>12421</v>
      </c>
      <c r="E168" s="11">
        <v>25318</v>
      </c>
      <c r="F168" s="11">
        <v>74759000</v>
      </c>
      <c r="G168" s="46" t="s">
        <v>71</v>
      </c>
      <c r="H168" s="35">
        <f>$H$167/3</f>
        <v>269.73333333333335</v>
      </c>
      <c r="I168" s="35">
        <f>$I$167</f>
        <v>0</v>
      </c>
      <c r="J168" s="61">
        <f>SUM(H168+I168)</f>
        <v>269.73333333333335</v>
      </c>
      <c r="K168" s="67" t="str">
        <f>_xlfn.XLOOKUP(C168,'REGIONAIS-GEREX'!$C$3:$C$445,'REGIONAIS-GEREX'!$A$3:$A$445," ")</f>
        <v xml:space="preserve">SEDE </v>
      </c>
      <c r="L168" s="81"/>
      <c r="M168" s="117">
        <f>Tabela2[[#This Row],[VALOR VSC PERCURSO]]+Tabela2[[#This Row],[VALOR ]]</f>
        <v>269.73333333333335</v>
      </c>
    </row>
    <row r="169" spans="1:13" ht="15" customHeight="1" x14ac:dyDescent="0.25">
      <c r="A169" s="8">
        <v>306</v>
      </c>
      <c r="B169" s="13" t="s">
        <v>63</v>
      </c>
      <c r="C169" s="25" t="s">
        <v>671</v>
      </c>
      <c r="D169" s="25">
        <v>8056</v>
      </c>
      <c r="E169" s="25">
        <v>25318</v>
      </c>
      <c r="F169" s="25">
        <v>74814389</v>
      </c>
      <c r="G169" s="28" t="s">
        <v>71</v>
      </c>
      <c r="H169" s="16">
        <v>1777.64</v>
      </c>
      <c r="I169" s="15">
        <v>0</v>
      </c>
      <c r="J169" s="61">
        <v>1767.92</v>
      </c>
      <c r="K169" s="67" t="str">
        <f>_xlfn.XLOOKUP(C169,'REGIONAIS-GEREX'!$C$3:$C$445,'REGIONAIS-GEREX'!$A$3:$A$445," ")</f>
        <v xml:space="preserve">SEDE </v>
      </c>
      <c r="L169" s="105">
        <v>9.7200000000000006</v>
      </c>
      <c r="M169" s="117">
        <f>Tabela2[[#This Row],[VALOR VSC PERCURSO]]+Tabela2[[#This Row],[VALOR ]]</f>
        <v>1777.64</v>
      </c>
    </row>
    <row r="170" spans="1:13" ht="15" customHeight="1" x14ac:dyDescent="0.25">
      <c r="A170" s="8">
        <v>310</v>
      </c>
      <c r="B170" s="13" t="s">
        <v>84</v>
      </c>
      <c r="C170" s="9" t="s">
        <v>691</v>
      </c>
      <c r="D170" s="9">
        <v>12318</v>
      </c>
      <c r="E170" s="9">
        <v>25318</v>
      </c>
      <c r="F170" s="9">
        <v>74758977</v>
      </c>
      <c r="G170" s="13" t="s">
        <v>71</v>
      </c>
      <c r="H170" s="15">
        <v>29.87</v>
      </c>
      <c r="I170" s="15">
        <v>0</v>
      </c>
      <c r="J170" s="61">
        <f>SUM(H170+I170)</f>
        <v>29.87</v>
      </c>
      <c r="K170" s="67" t="str">
        <f>_xlfn.XLOOKUP(C170,'REGIONAIS-GEREX'!$C$3:$C$445,'REGIONAIS-GEREX'!$A$3:$A$445," ")</f>
        <v xml:space="preserve">SEDE </v>
      </c>
      <c r="L170" s="81"/>
      <c r="M170" s="117">
        <f>Tabela2[[#This Row],[VALOR VSC PERCURSO]]+Tabela2[[#This Row],[VALOR ]]</f>
        <v>29.87</v>
      </c>
    </row>
    <row r="171" spans="1:13" ht="15" customHeight="1" x14ac:dyDescent="0.25">
      <c r="A171" s="8">
        <v>314</v>
      </c>
      <c r="B171" s="13" t="s">
        <v>85</v>
      </c>
      <c r="C171" s="9">
        <v>229</v>
      </c>
      <c r="D171" s="9">
        <v>8144</v>
      </c>
      <c r="E171" s="9">
        <v>25318</v>
      </c>
      <c r="F171" s="9">
        <v>10415185</v>
      </c>
      <c r="G171" s="13" t="s">
        <v>76</v>
      </c>
      <c r="H171" s="16">
        <v>141.24</v>
      </c>
      <c r="I171" s="15">
        <v>91.24</v>
      </c>
      <c r="J171" s="61">
        <f>SUM(H171+I171)</f>
        <v>232.48000000000002</v>
      </c>
      <c r="K171" s="67" t="str">
        <f>_xlfn.XLOOKUP(C171,'REGIONAIS-GEREX'!$C$3:$C$445,'REGIONAIS-GEREX'!$A$3:$A$445," ")</f>
        <v>Extremo Oeste e Oeste</v>
      </c>
      <c r="L171" s="81"/>
      <c r="M171" s="117">
        <f>Tabela2[[#This Row],[VALOR VSC PERCURSO]]+Tabela2[[#This Row],[VALOR ]]</f>
        <v>232.48000000000002</v>
      </c>
    </row>
    <row r="172" spans="1:13" ht="15.75" customHeight="1" x14ac:dyDescent="0.25">
      <c r="A172" s="8">
        <v>326</v>
      </c>
      <c r="B172" s="10" t="s">
        <v>86</v>
      </c>
      <c r="C172" s="10">
        <v>598</v>
      </c>
      <c r="D172" s="10">
        <v>8243</v>
      </c>
      <c r="E172" s="10">
        <v>25318</v>
      </c>
      <c r="F172" s="10">
        <v>10420847</v>
      </c>
      <c r="G172" s="10" t="s">
        <v>76</v>
      </c>
      <c r="H172" s="16">
        <v>411.45</v>
      </c>
      <c r="I172" s="50">
        <v>53.51</v>
      </c>
      <c r="J172" s="61">
        <f>SUM(H172+I172)</f>
        <v>464.96</v>
      </c>
      <c r="K172" s="67" t="str">
        <f>_xlfn.XLOOKUP(C172,'REGIONAIS-GEREX'!$C$3:$C$445,'REGIONAIS-GEREX'!$A$3:$A$445," ")</f>
        <v>GEFAN - Centro Norte e Centro Oeste</v>
      </c>
      <c r="L172" s="81"/>
      <c r="M172" s="117">
        <f>Tabela2[[#This Row],[VALOR VSC PERCURSO]]+Tabela2[[#This Row],[VALOR ]]</f>
        <v>464.96</v>
      </c>
    </row>
    <row r="173" spans="1:13" ht="15.75" customHeight="1" x14ac:dyDescent="0.25">
      <c r="A173" s="8">
        <v>331</v>
      </c>
      <c r="B173" s="11" t="s">
        <v>166</v>
      </c>
      <c r="C173" s="11"/>
      <c r="D173" s="11"/>
      <c r="E173" s="11"/>
      <c r="F173" s="11">
        <v>10421625</v>
      </c>
      <c r="G173" s="11" t="s">
        <v>76</v>
      </c>
      <c r="H173" s="16">
        <v>116.25</v>
      </c>
      <c r="I173" s="50">
        <v>348.71</v>
      </c>
      <c r="J173" s="61"/>
      <c r="K173" s="67" t="str">
        <f>_xlfn.XLOOKUP(C173,'REGIONAIS-GEREX'!$C$3:$C$445,'REGIONAIS-GEREX'!$A$3:$A$445," ")</f>
        <v xml:space="preserve"> </v>
      </c>
      <c r="L173" s="81"/>
      <c r="M173" s="117">
        <f>Tabela2[[#This Row],[VALOR VSC PERCURSO]]+Tabela2[[#This Row],[VALOR ]]</f>
        <v>464.96</v>
      </c>
    </row>
    <row r="174" spans="1:13" ht="15.75" customHeight="1" x14ac:dyDescent="0.25">
      <c r="A174" s="8">
        <v>332</v>
      </c>
      <c r="B174" s="9" t="s">
        <v>166</v>
      </c>
      <c r="C174" s="10">
        <v>504</v>
      </c>
      <c r="D174" s="10">
        <v>8243</v>
      </c>
      <c r="E174" s="10">
        <v>25318</v>
      </c>
      <c r="F174" s="11">
        <v>10421625</v>
      </c>
      <c r="G174" s="11" t="s">
        <v>76</v>
      </c>
      <c r="H174" s="35">
        <f>$H$173/3</f>
        <v>38.75</v>
      </c>
      <c r="I174" s="35">
        <f>$I$173/3</f>
        <v>116.23666666666666</v>
      </c>
      <c r="J174" s="61">
        <f>SUM(H174+I174)</f>
        <v>154.98666666666668</v>
      </c>
      <c r="K174" s="67" t="str">
        <f>_xlfn.XLOOKUP(C174,'REGIONAIS-GEREX'!$C$3:$C$445,'REGIONAIS-GEREX'!$A$3:$A$445," ")</f>
        <v>GEFAN - Sul e Sudeste</v>
      </c>
      <c r="L174" s="81"/>
      <c r="M174" s="117">
        <f>Tabela2[[#This Row],[VALOR VSC PERCURSO]]+Tabela2[[#This Row],[VALOR ]]</f>
        <v>154.98666666666668</v>
      </c>
    </row>
    <row r="175" spans="1:13" ht="15.75" customHeight="1" x14ac:dyDescent="0.25">
      <c r="A175" s="8">
        <v>333</v>
      </c>
      <c r="B175" s="9" t="s">
        <v>166</v>
      </c>
      <c r="C175" s="10">
        <v>521</v>
      </c>
      <c r="D175" s="10">
        <v>8243</v>
      </c>
      <c r="E175" s="10">
        <v>25318</v>
      </c>
      <c r="F175" s="11">
        <v>10421625</v>
      </c>
      <c r="G175" s="11" t="s">
        <v>76</v>
      </c>
      <c r="H175" s="35">
        <f>$H$173/3</f>
        <v>38.75</v>
      </c>
      <c r="I175" s="35">
        <f>$I$173/3</f>
        <v>116.23666666666666</v>
      </c>
      <c r="J175" s="61">
        <f>SUM(H175+I175)</f>
        <v>154.98666666666668</v>
      </c>
      <c r="K175" s="67" t="str">
        <f>_xlfn.XLOOKUP(C175,'REGIONAIS-GEREX'!$C$3:$C$445,'REGIONAIS-GEREX'!$A$3:$A$445," ")</f>
        <v>GEFAN - Sul e Sudeste</v>
      </c>
      <c r="L175" s="81"/>
      <c r="M175" s="117">
        <f>Tabela2[[#This Row],[VALOR VSC PERCURSO]]+Tabela2[[#This Row],[VALOR ]]</f>
        <v>154.98666666666668</v>
      </c>
    </row>
    <row r="176" spans="1:13" ht="15.75" customHeight="1" x14ac:dyDescent="0.25">
      <c r="A176" s="8">
        <v>334</v>
      </c>
      <c r="B176" s="9" t="s">
        <v>166</v>
      </c>
      <c r="C176" s="10">
        <v>923</v>
      </c>
      <c r="D176" s="10">
        <v>8243</v>
      </c>
      <c r="E176" s="10">
        <v>25318</v>
      </c>
      <c r="F176" s="11">
        <v>10421625</v>
      </c>
      <c r="G176" s="11" t="s">
        <v>76</v>
      </c>
      <c r="H176" s="35">
        <f>$H$173/3</f>
        <v>38.75</v>
      </c>
      <c r="I176" s="35">
        <f>$I$173/3</f>
        <v>116.23666666666666</v>
      </c>
      <c r="J176" s="61">
        <f>SUM(H176+I176)</f>
        <v>154.98666666666668</v>
      </c>
      <c r="K176" s="67" t="str">
        <f>_xlfn.XLOOKUP(C176,'REGIONAIS-GEREX'!$C$3:$C$445,'REGIONAIS-GEREX'!$A$3:$A$445," ")</f>
        <v>GEFAN - Sul e Sudeste</v>
      </c>
      <c r="L176" s="81"/>
      <c r="M176" s="117">
        <f>Tabela2[[#This Row],[VALOR VSC PERCURSO]]+Tabela2[[#This Row],[VALOR ]]</f>
        <v>154.98666666666668</v>
      </c>
    </row>
    <row r="177" spans="1:13" ht="15.75" customHeight="1" x14ac:dyDescent="0.25">
      <c r="A177" s="8">
        <v>335</v>
      </c>
      <c r="B177" s="11" t="s">
        <v>87</v>
      </c>
      <c r="C177" s="11"/>
      <c r="D177" s="11"/>
      <c r="E177" s="11"/>
      <c r="F177" s="11">
        <v>10422888</v>
      </c>
      <c r="G177" s="10" t="s">
        <v>76</v>
      </c>
      <c r="H177" s="16">
        <v>356.94</v>
      </c>
      <c r="I177" s="15">
        <v>108.02</v>
      </c>
      <c r="J177" s="61"/>
      <c r="K177" s="67" t="str">
        <f>_xlfn.XLOOKUP(C177,'REGIONAIS-GEREX'!$C$3:$C$445,'REGIONAIS-GEREX'!$A$3:$A$445," ")</f>
        <v xml:space="preserve"> </v>
      </c>
      <c r="L177" s="81"/>
      <c r="M177" s="117">
        <f>Tabela2[[#This Row],[VALOR VSC PERCURSO]]+Tabela2[[#This Row],[VALOR ]]</f>
        <v>464.96</v>
      </c>
    </row>
    <row r="178" spans="1:13" ht="15.75" customHeight="1" x14ac:dyDescent="0.25">
      <c r="A178" s="8">
        <v>336</v>
      </c>
      <c r="B178" s="9" t="s">
        <v>88</v>
      </c>
      <c r="C178" s="10">
        <v>4043</v>
      </c>
      <c r="D178" s="10">
        <v>8264</v>
      </c>
      <c r="E178" s="10">
        <v>25318</v>
      </c>
      <c r="F178" s="11">
        <v>10422888</v>
      </c>
      <c r="G178" s="10" t="s">
        <v>76</v>
      </c>
      <c r="H178" s="35">
        <f>$H$177*0.1</f>
        <v>35.694000000000003</v>
      </c>
      <c r="I178" s="35">
        <f>$I$177*0.1</f>
        <v>10.802</v>
      </c>
      <c r="J178" s="61">
        <f t="shared" ref="J178:J194" si="12">SUM(H178+I178)</f>
        <v>46.496000000000002</v>
      </c>
      <c r="K178" s="67" t="str">
        <f>_xlfn.XLOOKUP(C178,'REGIONAIS-GEREX'!$C$3:$C$445,'REGIONAIS-GEREX'!$A$3:$A$445," ")</f>
        <v>GEFAN - Centro Norte e Centro Oeste</v>
      </c>
      <c r="L178" s="81"/>
      <c r="M178" s="117">
        <f>Tabela2[[#This Row],[VALOR VSC PERCURSO]]+Tabela2[[#This Row],[VALOR ]]</f>
        <v>46.496000000000002</v>
      </c>
    </row>
    <row r="179" spans="1:13" ht="15.75" customHeight="1" x14ac:dyDescent="0.25">
      <c r="A179" s="8">
        <v>337</v>
      </c>
      <c r="B179" s="9" t="s">
        <v>88</v>
      </c>
      <c r="C179" s="10">
        <v>4039</v>
      </c>
      <c r="D179" s="10">
        <v>8264</v>
      </c>
      <c r="E179" s="10">
        <v>25318</v>
      </c>
      <c r="F179" s="11">
        <v>10422888</v>
      </c>
      <c r="G179" s="10" t="s">
        <v>76</v>
      </c>
      <c r="H179" s="35">
        <f>$H$177*0.1</f>
        <v>35.694000000000003</v>
      </c>
      <c r="I179" s="35">
        <f>$I$177*0.1</f>
        <v>10.802</v>
      </c>
      <c r="J179" s="61">
        <f t="shared" si="12"/>
        <v>46.496000000000002</v>
      </c>
      <c r="K179" s="67" t="str">
        <f>_xlfn.XLOOKUP(C179,'REGIONAIS-GEREX'!$C$3:$C$445,'REGIONAIS-GEREX'!$A$3:$A$445," ")</f>
        <v>GEFAN - Centro Norte e Centro Oeste</v>
      </c>
      <c r="L179" s="81"/>
      <c r="M179" s="117">
        <f>Tabela2[[#This Row],[VALOR VSC PERCURSO]]+Tabela2[[#This Row],[VALOR ]]</f>
        <v>46.496000000000002</v>
      </c>
    </row>
    <row r="180" spans="1:13" ht="15.75" customHeight="1" x14ac:dyDescent="0.25">
      <c r="A180" s="8">
        <v>338</v>
      </c>
      <c r="B180" s="9" t="s">
        <v>88</v>
      </c>
      <c r="C180" s="10">
        <v>4007</v>
      </c>
      <c r="D180" s="10">
        <v>8264</v>
      </c>
      <c r="E180" s="10">
        <v>25318</v>
      </c>
      <c r="F180" s="11">
        <v>10422888</v>
      </c>
      <c r="G180" s="10" t="s">
        <v>76</v>
      </c>
      <c r="H180" s="35">
        <f>$H$177*0.1</f>
        <v>35.694000000000003</v>
      </c>
      <c r="I180" s="35">
        <f>$I$177*0.1</f>
        <v>10.802</v>
      </c>
      <c r="J180" s="61">
        <f t="shared" si="12"/>
        <v>46.496000000000002</v>
      </c>
      <c r="K180" s="67" t="str">
        <f>_xlfn.XLOOKUP(C180,'REGIONAIS-GEREX'!$C$3:$C$445,'REGIONAIS-GEREX'!$A$3:$A$445," ")</f>
        <v>GEFAN - Centro Norte e Centro Oeste</v>
      </c>
      <c r="L180" s="81"/>
      <c r="M180" s="117">
        <f>Tabela2[[#This Row],[VALOR VSC PERCURSO]]+Tabela2[[#This Row],[VALOR ]]</f>
        <v>46.496000000000002</v>
      </c>
    </row>
    <row r="181" spans="1:13" ht="15.75" customHeight="1" x14ac:dyDescent="0.25">
      <c r="A181" s="8">
        <v>339</v>
      </c>
      <c r="B181" s="9" t="s">
        <v>89</v>
      </c>
      <c r="C181" s="10">
        <v>518</v>
      </c>
      <c r="D181" s="10">
        <v>8264</v>
      </c>
      <c r="E181" s="10">
        <v>25318</v>
      </c>
      <c r="F181" s="11">
        <v>10422888</v>
      </c>
      <c r="G181" s="10" t="s">
        <v>76</v>
      </c>
      <c r="H181" s="35">
        <f>$H$177*0.4</f>
        <v>142.77600000000001</v>
      </c>
      <c r="I181" s="35">
        <f>$I$177*0.4</f>
        <v>43.207999999999998</v>
      </c>
      <c r="J181" s="61">
        <f t="shared" si="12"/>
        <v>185.98400000000001</v>
      </c>
      <c r="K181" s="67" t="str">
        <f>_xlfn.XLOOKUP(C181,'REGIONAIS-GEREX'!$C$3:$C$445,'REGIONAIS-GEREX'!$A$3:$A$445," ")</f>
        <v>GEFAN - Centro Norte e Centro Oeste</v>
      </c>
      <c r="L181" s="81"/>
      <c r="M181" s="117">
        <f>Tabela2[[#This Row],[VALOR VSC PERCURSO]]+Tabela2[[#This Row],[VALOR ]]</f>
        <v>185.98400000000001</v>
      </c>
    </row>
    <row r="182" spans="1:13" ht="15.75" customHeight="1" x14ac:dyDescent="0.25">
      <c r="A182" s="8">
        <v>340</v>
      </c>
      <c r="B182" s="9" t="s">
        <v>90</v>
      </c>
      <c r="C182" s="10">
        <v>543</v>
      </c>
      <c r="D182" s="10">
        <v>8264</v>
      </c>
      <c r="E182" s="10">
        <v>25318</v>
      </c>
      <c r="F182" s="11">
        <v>10422888</v>
      </c>
      <c r="G182" s="10" t="s">
        <v>76</v>
      </c>
      <c r="H182" s="35">
        <f>$H$177*0.3</f>
        <v>107.08199999999999</v>
      </c>
      <c r="I182" s="35">
        <f>$I$177*0.3</f>
        <v>32.405999999999999</v>
      </c>
      <c r="J182" s="61">
        <f t="shared" si="12"/>
        <v>139.488</v>
      </c>
      <c r="K182" s="67" t="str">
        <f>_xlfn.XLOOKUP(C182,'REGIONAIS-GEREX'!$C$3:$C$445,'REGIONAIS-GEREX'!$A$3:$A$445," ")</f>
        <v>GEFAN - Centro Norte e Centro Oeste</v>
      </c>
      <c r="L182" s="81"/>
      <c r="M182" s="117">
        <f>Tabela2[[#This Row],[VALOR VSC PERCURSO]]+Tabela2[[#This Row],[VALOR ]]</f>
        <v>139.488</v>
      </c>
    </row>
    <row r="183" spans="1:13" ht="15.75" customHeight="1" x14ac:dyDescent="0.25">
      <c r="A183" s="8">
        <v>343</v>
      </c>
      <c r="B183" s="9" t="s">
        <v>91</v>
      </c>
      <c r="C183" s="10">
        <v>236</v>
      </c>
      <c r="D183" s="10">
        <v>12161</v>
      </c>
      <c r="E183" s="10">
        <v>25318</v>
      </c>
      <c r="F183" s="10">
        <v>75900858</v>
      </c>
      <c r="G183" s="10" t="s">
        <v>71</v>
      </c>
      <c r="H183" s="16">
        <v>33.58</v>
      </c>
      <c r="I183" s="15">
        <v>0</v>
      </c>
      <c r="J183" s="61">
        <f t="shared" si="12"/>
        <v>33.58</v>
      </c>
      <c r="K183" s="67" t="str">
        <f>_xlfn.XLOOKUP(C183,'REGIONAIS-GEREX'!$C$3:$C$445,'REGIONAIS-GEREX'!$A$3:$A$445," ")</f>
        <v>Vale do Itajaí Mirim e Foz do Rio Itajaí</v>
      </c>
      <c r="L183" s="81"/>
      <c r="M183" s="117">
        <f>Tabela2[[#This Row],[VALOR VSC PERCURSO]]+Tabela2[[#This Row],[VALOR ]]</f>
        <v>33.58</v>
      </c>
    </row>
    <row r="184" spans="1:13" ht="15.75" customHeight="1" x14ac:dyDescent="0.25">
      <c r="A184" s="8">
        <v>344</v>
      </c>
      <c r="B184" s="9" t="s">
        <v>92</v>
      </c>
      <c r="C184" s="10">
        <v>916</v>
      </c>
      <c r="D184" s="10">
        <v>8243</v>
      </c>
      <c r="E184" s="10">
        <v>25318</v>
      </c>
      <c r="F184" s="10">
        <v>10421587</v>
      </c>
      <c r="G184" s="9" t="s">
        <v>76</v>
      </c>
      <c r="H184" s="16">
        <v>54.04</v>
      </c>
      <c r="I184" s="50">
        <v>178.44</v>
      </c>
      <c r="J184" s="61">
        <f t="shared" si="12"/>
        <v>232.48</v>
      </c>
      <c r="K184" s="67" t="str">
        <f>_xlfn.XLOOKUP(C184,'REGIONAIS-GEREX'!$C$3:$C$445,'REGIONAIS-GEREX'!$A$3:$A$445," ")</f>
        <v>GEFAN - Oeste</v>
      </c>
      <c r="L184" s="81"/>
      <c r="M184" s="117">
        <f>Tabela2[[#This Row],[VALOR VSC PERCURSO]]+Tabela2[[#This Row],[VALOR ]]</f>
        <v>232.48</v>
      </c>
    </row>
    <row r="185" spans="1:13" ht="15.75" customHeight="1" x14ac:dyDescent="0.25">
      <c r="A185" s="8">
        <v>347</v>
      </c>
      <c r="B185" s="9" t="s">
        <v>93</v>
      </c>
      <c r="C185" s="9">
        <v>505</v>
      </c>
      <c r="D185" s="9">
        <v>8243</v>
      </c>
      <c r="E185" s="9">
        <v>25318</v>
      </c>
      <c r="F185" s="9">
        <v>10426179</v>
      </c>
      <c r="G185" s="9" t="s">
        <v>76</v>
      </c>
      <c r="H185" s="16">
        <v>455.93</v>
      </c>
      <c r="I185" s="15">
        <v>9.0299999999999994</v>
      </c>
      <c r="J185" s="61">
        <f t="shared" si="12"/>
        <v>464.96</v>
      </c>
      <c r="K185" s="67" t="str">
        <f>_xlfn.XLOOKUP(C185,'REGIONAIS-GEREX'!$C$3:$C$445,'REGIONAIS-GEREX'!$A$3:$A$445," ")</f>
        <v>GEFAN - Norte - Nordeste / Plan. e Vale</v>
      </c>
      <c r="L185" s="81"/>
      <c r="M185" s="117">
        <f>Tabela2[[#This Row],[VALOR VSC PERCURSO]]+Tabela2[[#This Row],[VALOR ]]</f>
        <v>464.96</v>
      </c>
    </row>
    <row r="186" spans="1:13" ht="15.75" customHeight="1" x14ac:dyDescent="0.25">
      <c r="A186" s="8">
        <v>348</v>
      </c>
      <c r="B186" s="9" t="s">
        <v>94</v>
      </c>
      <c r="C186" s="9">
        <v>529</v>
      </c>
      <c r="D186" s="9">
        <v>8243</v>
      </c>
      <c r="E186" s="9">
        <v>25318</v>
      </c>
      <c r="F186" s="9">
        <v>10427255</v>
      </c>
      <c r="G186" s="9" t="s">
        <v>76</v>
      </c>
      <c r="H186" s="16">
        <v>124.9</v>
      </c>
      <c r="I186" s="15">
        <v>107.58</v>
      </c>
      <c r="J186" s="61">
        <f t="shared" si="12"/>
        <v>232.48000000000002</v>
      </c>
      <c r="K186" s="67" t="str">
        <f>_xlfn.XLOOKUP(C186,'REGIONAIS-GEREX'!$C$3:$C$445,'REGIONAIS-GEREX'!$A$3:$A$445," ")</f>
        <v>GEFAN - Alto Vale e Serra</v>
      </c>
      <c r="L186" s="81"/>
      <c r="M186" s="117">
        <f>Tabela2[[#This Row],[VALOR VSC PERCURSO]]+Tabela2[[#This Row],[VALOR ]]</f>
        <v>232.48000000000002</v>
      </c>
    </row>
    <row r="187" spans="1:13" ht="15.75" customHeight="1" x14ac:dyDescent="0.25">
      <c r="A187" s="8">
        <v>349</v>
      </c>
      <c r="B187" s="9" t="s">
        <v>168</v>
      </c>
      <c r="C187" s="9">
        <v>528</v>
      </c>
      <c r="D187" s="9">
        <v>8243</v>
      </c>
      <c r="E187" s="9">
        <v>25318</v>
      </c>
      <c r="F187" s="9">
        <v>10427257</v>
      </c>
      <c r="G187" s="9" t="s">
        <v>76</v>
      </c>
      <c r="H187" s="16">
        <v>166.21</v>
      </c>
      <c r="I187" s="15">
        <v>66.27</v>
      </c>
      <c r="J187" s="61">
        <f t="shared" si="12"/>
        <v>232.48000000000002</v>
      </c>
      <c r="K187" s="67" t="str">
        <f>_xlfn.XLOOKUP(C187,'REGIONAIS-GEREX'!$C$3:$C$445,'REGIONAIS-GEREX'!$A$3:$A$445," ")</f>
        <v>GEFAN - Alto Vale e Serra</v>
      </c>
      <c r="L187" s="81"/>
      <c r="M187" s="117">
        <f>Tabela2[[#This Row],[VALOR VSC PERCURSO]]+Tabela2[[#This Row],[VALOR ]]</f>
        <v>232.48000000000002</v>
      </c>
    </row>
    <row r="188" spans="1:13" ht="15.75" customHeight="1" x14ac:dyDescent="0.25">
      <c r="A188" s="8">
        <v>351</v>
      </c>
      <c r="B188" s="9" t="s">
        <v>95</v>
      </c>
      <c r="C188" s="9" t="s">
        <v>673</v>
      </c>
      <c r="D188" s="9">
        <v>7530</v>
      </c>
      <c r="E188" s="9">
        <v>25386</v>
      </c>
      <c r="F188" s="9">
        <v>75251388</v>
      </c>
      <c r="G188" s="9" t="s">
        <v>71</v>
      </c>
      <c r="H188" s="16">
        <v>1010.82</v>
      </c>
      <c r="I188" s="50">
        <v>0</v>
      </c>
      <c r="J188" s="61">
        <f t="shared" si="12"/>
        <v>1010.82</v>
      </c>
      <c r="K188" s="67" t="str">
        <f>_xlfn.XLOOKUP(C188,'REGIONAIS-GEREX'!$C$3:$C$445,'REGIONAIS-GEREX'!$A$3:$A$445," ")</f>
        <v xml:space="preserve">SEDE </v>
      </c>
      <c r="L188" s="81"/>
      <c r="M188" s="117">
        <f>Tabela2[[#This Row],[VALOR VSC PERCURSO]]+Tabela2[[#This Row],[VALOR ]]</f>
        <v>1010.82</v>
      </c>
    </row>
    <row r="189" spans="1:13" ht="15.75" customHeight="1" x14ac:dyDescent="0.25">
      <c r="A189" s="8">
        <v>352</v>
      </c>
      <c r="B189" s="9" t="s">
        <v>96</v>
      </c>
      <c r="C189" s="9">
        <v>206</v>
      </c>
      <c r="D189" s="9">
        <v>8144</v>
      </c>
      <c r="E189" s="9">
        <v>25318</v>
      </c>
      <c r="F189" s="9">
        <v>76230414</v>
      </c>
      <c r="G189" s="9" t="s">
        <v>71</v>
      </c>
      <c r="H189" s="16">
        <v>18.62</v>
      </c>
      <c r="I189" s="50">
        <v>0</v>
      </c>
      <c r="J189" s="61">
        <f t="shared" si="12"/>
        <v>18.62</v>
      </c>
      <c r="K189" s="67" t="str">
        <f>_xlfn.XLOOKUP(C189,'REGIONAIS-GEREX'!$C$3:$C$445,'REGIONAIS-GEREX'!$A$3:$A$445," ")</f>
        <v>Extremo Oeste e Oeste</v>
      </c>
      <c r="L189" s="81"/>
      <c r="M189" s="117">
        <f>Tabela2[[#This Row],[VALOR VSC PERCURSO]]+Tabela2[[#This Row],[VALOR ]]</f>
        <v>18.62</v>
      </c>
    </row>
    <row r="190" spans="1:13" ht="15.75" customHeight="1" x14ac:dyDescent="0.25">
      <c r="A190" s="8">
        <v>357</v>
      </c>
      <c r="B190" s="9" t="s">
        <v>97</v>
      </c>
      <c r="C190" s="9">
        <v>530</v>
      </c>
      <c r="D190" s="9">
        <v>8243</v>
      </c>
      <c r="E190" s="9">
        <v>25318</v>
      </c>
      <c r="F190" s="9">
        <v>10429657</v>
      </c>
      <c r="G190" s="9" t="s">
        <v>76</v>
      </c>
      <c r="H190" s="16">
        <v>203.92</v>
      </c>
      <c r="I190" s="15">
        <v>261.04000000000002</v>
      </c>
      <c r="J190" s="61">
        <f t="shared" si="12"/>
        <v>464.96000000000004</v>
      </c>
      <c r="K190" s="67" t="str">
        <f>_xlfn.XLOOKUP(C190,'REGIONAIS-GEREX'!$C$3:$C$445,'REGIONAIS-GEREX'!$A$3:$A$445," ")</f>
        <v>GEFAN - Alto Vale e Serra</v>
      </c>
      <c r="L190" s="81"/>
      <c r="M190" s="117">
        <f>Tabela2[[#This Row],[VALOR VSC PERCURSO]]+Tabela2[[#This Row],[VALOR ]]</f>
        <v>464.96000000000004</v>
      </c>
    </row>
    <row r="191" spans="1:13" ht="15.75" customHeight="1" x14ac:dyDescent="0.25">
      <c r="A191" s="8">
        <v>359</v>
      </c>
      <c r="B191" s="9" t="s">
        <v>98</v>
      </c>
      <c r="C191" s="9">
        <v>204</v>
      </c>
      <c r="D191" s="9">
        <v>8144</v>
      </c>
      <c r="E191" s="9">
        <v>25318</v>
      </c>
      <c r="F191" s="9">
        <v>10430267</v>
      </c>
      <c r="G191" s="9" t="s">
        <v>76</v>
      </c>
      <c r="H191" s="16">
        <v>0</v>
      </c>
      <c r="I191" s="15">
        <v>232.48</v>
      </c>
      <c r="J191" s="61">
        <f t="shared" si="12"/>
        <v>232.48</v>
      </c>
      <c r="K191" s="67" t="str">
        <f>_xlfn.XLOOKUP(C191,'REGIONAIS-GEREX'!$C$3:$C$445,'REGIONAIS-GEREX'!$A$3:$A$445," ")</f>
        <v>Centro Norte</v>
      </c>
      <c r="L191" s="81"/>
      <c r="M191" s="117">
        <f>Tabela2[[#This Row],[VALOR VSC PERCURSO]]+Tabela2[[#This Row],[VALOR ]]</f>
        <v>232.48</v>
      </c>
    </row>
    <row r="192" spans="1:13" ht="15.75" customHeight="1" x14ac:dyDescent="0.25">
      <c r="A192" s="8">
        <v>360</v>
      </c>
      <c r="B192" s="9" t="s">
        <v>99</v>
      </c>
      <c r="C192" s="9">
        <v>518</v>
      </c>
      <c r="D192" s="9">
        <v>12460</v>
      </c>
      <c r="E192" s="9">
        <v>25318</v>
      </c>
      <c r="F192" s="9">
        <v>76703304</v>
      </c>
      <c r="G192" s="9" t="s">
        <v>71</v>
      </c>
      <c r="H192" s="16">
        <v>85.74</v>
      </c>
      <c r="I192" s="15">
        <v>0</v>
      </c>
      <c r="J192" s="61">
        <f t="shared" si="12"/>
        <v>85.74</v>
      </c>
      <c r="K192" s="67" t="str">
        <f>_xlfn.XLOOKUP(C192,'REGIONAIS-GEREX'!$C$3:$C$445,'REGIONAIS-GEREX'!$A$3:$A$445," ")</f>
        <v>GEFAN - Centro Norte e Centro Oeste</v>
      </c>
      <c r="L192" s="81"/>
      <c r="M192" s="117">
        <f>Tabela2[[#This Row],[VALOR VSC PERCURSO]]+Tabela2[[#This Row],[VALOR ]]</f>
        <v>85.74</v>
      </c>
    </row>
    <row r="193" spans="1:13" ht="15.75" customHeight="1" x14ac:dyDescent="0.25">
      <c r="A193" s="8">
        <v>363</v>
      </c>
      <c r="B193" s="13" t="s">
        <v>153</v>
      </c>
      <c r="C193" s="9">
        <v>527</v>
      </c>
      <c r="D193" s="9">
        <v>12460</v>
      </c>
      <c r="E193" s="9">
        <v>25318</v>
      </c>
      <c r="F193" s="9">
        <v>76930793</v>
      </c>
      <c r="G193" s="9" t="s">
        <v>71</v>
      </c>
      <c r="H193" s="16">
        <v>190.59</v>
      </c>
      <c r="I193" s="50">
        <v>0</v>
      </c>
      <c r="J193" s="61">
        <f t="shared" si="12"/>
        <v>190.59</v>
      </c>
      <c r="K193" s="67" t="str">
        <f>_xlfn.XLOOKUP(C193,'REGIONAIS-GEREX'!$C$3:$C$445,'REGIONAIS-GEREX'!$A$3:$A$445," ")</f>
        <v>GEFAN - Alto Vale e Serra</v>
      </c>
      <c r="L193" s="81"/>
      <c r="M193" s="117">
        <f>Tabela2[[#This Row],[VALOR VSC PERCURSO]]+Tabela2[[#This Row],[VALOR ]]</f>
        <v>190.59</v>
      </c>
    </row>
    <row r="194" spans="1:13" ht="15.75" customHeight="1" x14ac:dyDescent="0.25">
      <c r="A194" s="8">
        <v>369</v>
      </c>
      <c r="B194" s="10" t="s">
        <v>771</v>
      </c>
      <c r="C194" s="10">
        <v>8035</v>
      </c>
      <c r="D194" s="10">
        <v>8264</v>
      </c>
      <c r="E194" s="10">
        <v>25318</v>
      </c>
      <c r="F194" s="13">
        <v>79859151</v>
      </c>
      <c r="G194" s="13"/>
      <c r="H194" s="15">
        <v>342.9</v>
      </c>
      <c r="I194" s="110">
        <v>0</v>
      </c>
      <c r="J194" s="61">
        <f t="shared" si="12"/>
        <v>342.9</v>
      </c>
      <c r="K194" s="67"/>
      <c r="L194" s="81"/>
      <c r="M194" s="117">
        <f>Tabela2[[#This Row],[VALOR VSC PERCURSO]]+Tabela2[[#This Row],[VALOR ]]</f>
        <v>342.9</v>
      </c>
    </row>
    <row r="195" spans="1:13" ht="15.75" customHeight="1" x14ac:dyDescent="0.25">
      <c r="A195" s="8">
        <v>370</v>
      </c>
      <c r="B195" s="11" t="s">
        <v>100</v>
      </c>
      <c r="C195" s="11"/>
      <c r="D195" s="11"/>
      <c r="E195" s="11"/>
      <c r="F195" s="11">
        <v>10432938</v>
      </c>
      <c r="G195" s="11" t="s">
        <v>76</v>
      </c>
      <c r="H195" s="16">
        <v>183.03</v>
      </c>
      <c r="I195" s="15">
        <v>49.45</v>
      </c>
      <c r="J195" s="61"/>
      <c r="K195" s="67" t="str">
        <f>_xlfn.XLOOKUP(C195,'REGIONAIS-GEREX'!$C$3:$C$445,'REGIONAIS-GEREX'!$A$3:$A$445," ")</f>
        <v xml:space="preserve"> </v>
      </c>
      <c r="L195" s="81"/>
      <c r="M195" s="117">
        <f>Tabela2[[#This Row],[VALOR VSC PERCURSO]]+Tabela2[[#This Row],[VALOR ]]</f>
        <v>232.48000000000002</v>
      </c>
    </row>
    <row r="196" spans="1:13" ht="15.75" customHeight="1" x14ac:dyDescent="0.25">
      <c r="A196" s="8">
        <v>371</v>
      </c>
      <c r="B196" s="9" t="s">
        <v>101</v>
      </c>
      <c r="C196" s="10">
        <v>593</v>
      </c>
      <c r="D196" s="10">
        <v>8264</v>
      </c>
      <c r="E196" s="10">
        <v>25318</v>
      </c>
      <c r="F196" s="11">
        <v>10432938</v>
      </c>
      <c r="G196" s="11" t="s">
        <v>76</v>
      </c>
      <c r="H196" s="35">
        <f>$H$195/3</f>
        <v>61.01</v>
      </c>
      <c r="I196" s="35">
        <f>$I$195/3</f>
        <v>16.483333333333334</v>
      </c>
      <c r="J196" s="61">
        <f>SUM(H196+I196)</f>
        <v>77.493333333333339</v>
      </c>
      <c r="K196" s="67" t="str">
        <f>_xlfn.XLOOKUP(C196,'REGIONAIS-GEREX'!$C$3:$C$445,'REGIONAIS-GEREX'!$A$3:$A$445," ")</f>
        <v>GEFAN - Oeste</v>
      </c>
      <c r="L196" s="81"/>
      <c r="M196" s="117">
        <f>Tabela2[[#This Row],[VALOR VSC PERCURSO]]+Tabela2[[#This Row],[VALOR ]]</f>
        <v>77.493333333333339</v>
      </c>
    </row>
    <row r="197" spans="1:13" ht="15.75" customHeight="1" x14ac:dyDescent="0.25">
      <c r="A197" s="8">
        <v>372</v>
      </c>
      <c r="B197" s="9" t="s">
        <v>102</v>
      </c>
      <c r="C197" s="10">
        <v>517</v>
      </c>
      <c r="D197" s="10">
        <v>8264</v>
      </c>
      <c r="E197" s="10">
        <v>25318</v>
      </c>
      <c r="F197" s="11">
        <v>10432938</v>
      </c>
      <c r="G197" s="11" t="s">
        <v>76</v>
      </c>
      <c r="H197" s="35">
        <f>$H$195/3</f>
        <v>61.01</v>
      </c>
      <c r="I197" s="35">
        <f>$I$195/3</f>
        <v>16.483333333333334</v>
      </c>
      <c r="J197" s="61">
        <f>SUM(H197+I197)</f>
        <v>77.493333333333339</v>
      </c>
      <c r="K197" s="67" t="str">
        <f>_xlfn.XLOOKUP(C197,'REGIONAIS-GEREX'!$C$3:$C$445,'REGIONAIS-GEREX'!$A$3:$A$445," ")</f>
        <v>GEFAN - Oeste</v>
      </c>
      <c r="L197" s="81"/>
      <c r="M197" s="117">
        <f>Tabela2[[#This Row],[VALOR VSC PERCURSO]]+Tabela2[[#This Row],[VALOR ]]</f>
        <v>77.493333333333339</v>
      </c>
    </row>
    <row r="198" spans="1:13" ht="15.75" customHeight="1" x14ac:dyDescent="0.25">
      <c r="A198" s="8">
        <v>373</v>
      </c>
      <c r="B198" s="9" t="s">
        <v>103</v>
      </c>
      <c r="C198" s="10">
        <v>570</v>
      </c>
      <c r="D198" s="10">
        <v>8264</v>
      </c>
      <c r="E198" s="10">
        <v>25318</v>
      </c>
      <c r="F198" s="11">
        <v>10432938</v>
      </c>
      <c r="G198" s="11" t="s">
        <v>76</v>
      </c>
      <c r="H198" s="35">
        <f>$H$195/3</f>
        <v>61.01</v>
      </c>
      <c r="I198" s="35">
        <f>$I$195/3</f>
        <v>16.483333333333334</v>
      </c>
      <c r="J198" s="61">
        <f>SUM(H198+I198)</f>
        <v>77.493333333333339</v>
      </c>
      <c r="K198" s="67" t="str">
        <f>_xlfn.XLOOKUP(C198,'REGIONAIS-GEREX'!$C$3:$C$445,'REGIONAIS-GEREX'!$A$3:$A$445," ")</f>
        <v>GEFAN - Oeste</v>
      </c>
      <c r="L198" s="81"/>
      <c r="M198" s="117">
        <f>Tabela2[[#This Row],[VALOR VSC PERCURSO]]+Tabela2[[#This Row],[VALOR ]]</f>
        <v>77.493333333333339</v>
      </c>
    </row>
    <row r="199" spans="1:13" ht="15.75" customHeight="1" x14ac:dyDescent="0.25">
      <c r="A199" s="8">
        <v>380</v>
      </c>
      <c r="B199" s="25" t="s">
        <v>174</v>
      </c>
      <c r="C199" s="51">
        <v>519</v>
      </c>
      <c r="D199" s="10">
        <v>8243</v>
      </c>
      <c r="E199" s="10">
        <v>25318</v>
      </c>
      <c r="F199" s="25">
        <v>10458514</v>
      </c>
      <c r="G199" s="25" t="s">
        <v>76</v>
      </c>
      <c r="H199" s="15">
        <v>224.82</v>
      </c>
      <c r="I199" s="20">
        <v>7.66</v>
      </c>
      <c r="J199" s="61">
        <f>SUM(H199+I199)</f>
        <v>232.48</v>
      </c>
      <c r="K199" s="67" t="str">
        <f>_xlfn.XLOOKUP(C199,'REGIONAIS-GEREX'!$C$3:$C$445,'REGIONAIS-GEREX'!$A$3:$A$445," ")</f>
        <v>GEFAN - Sul e Sudeste</v>
      </c>
      <c r="L199" s="81"/>
      <c r="M199" s="117">
        <f>Tabela2[[#This Row],[VALOR VSC PERCURSO]]+Tabela2[[#This Row],[VALOR ]]</f>
        <v>232.48</v>
      </c>
    </row>
    <row r="200" spans="1:13" ht="15.75" customHeight="1" x14ac:dyDescent="0.25">
      <c r="A200" s="8">
        <v>381</v>
      </c>
      <c r="B200" s="26" t="s">
        <v>104</v>
      </c>
      <c r="C200" s="12"/>
      <c r="D200" s="12"/>
      <c r="E200" s="12"/>
      <c r="F200" s="12"/>
      <c r="G200" s="12"/>
      <c r="H200" s="27"/>
      <c r="I200" s="27"/>
      <c r="J200" s="61"/>
      <c r="K200" s="67" t="str">
        <f>_xlfn.XLOOKUP(C200,'REGIONAIS-GEREX'!$C$3:$C$445,'REGIONAIS-GEREX'!$A$3:$A$445," ")</f>
        <v xml:space="preserve"> </v>
      </c>
      <c r="L200" s="81"/>
      <c r="M200" s="117">
        <f>Tabela2[[#This Row],[VALOR VSC PERCURSO]]+Tabela2[[#This Row],[VALOR ]]</f>
        <v>0</v>
      </c>
    </row>
    <row r="201" spans="1:13" ht="15.75" customHeight="1" x14ac:dyDescent="0.25">
      <c r="A201" s="8">
        <v>389</v>
      </c>
      <c r="B201" s="10" t="s">
        <v>123</v>
      </c>
      <c r="C201" s="10">
        <v>0</v>
      </c>
      <c r="D201" s="10">
        <v>8047</v>
      </c>
      <c r="E201" s="10">
        <v>25386</v>
      </c>
      <c r="F201" s="10">
        <v>71566813</v>
      </c>
      <c r="G201" s="10" t="s">
        <v>163</v>
      </c>
      <c r="H201" s="15">
        <v>53.15</v>
      </c>
      <c r="I201" s="15">
        <v>0</v>
      </c>
      <c r="J201" s="61">
        <f>SUM(H201+I201)</f>
        <v>53.15</v>
      </c>
      <c r="K201" s="67" t="str">
        <f>_xlfn.XLOOKUP(C201,'REGIONAIS-GEREX'!$C$3:$C$445,'REGIONAIS-GEREX'!$A$3:$A$445," ")</f>
        <v>Sudeste</v>
      </c>
      <c r="L201" s="81"/>
      <c r="M201" s="117">
        <f>Tabela2[[#This Row],[VALOR VSC PERCURSO]]+Tabela2[[#This Row],[VALOR ]]</f>
        <v>53.15</v>
      </c>
    </row>
    <row r="202" spans="1:13" ht="15.75" customHeight="1" x14ac:dyDescent="0.25">
      <c r="A202" s="8">
        <v>390</v>
      </c>
      <c r="B202" s="10" t="s">
        <v>114</v>
      </c>
      <c r="C202" s="10" t="s">
        <v>674</v>
      </c>
      <c r="D202" s="10">
        <v>7980</v>
      </c>
      <c r="E202" s="10">
        <v>25386</v>
      </c>
      <c r="F202" s="10">
        <v>71566805</v>
      </c>
      <c r="G202" s="10" t="s">
        <v>71</v>
      </c>
      <c r="H202" s="16">
        <v>83.05</v>
      </c>
      <c r="I202" s="15">
        <v>0</v>
      </c>
      <c r="J202" s="61">
        <f>SUM(H202+I202)</f>
        <v>83.05</v>
      </c>
      <c r="K202" s="67" t="str">
        <f>_xlfn.XLOOKUP(C202,'REGIONAIS-GEREX'!$C$3:$C$445,'REGIONAIS-GEREX'!$A$3:$A$445," ")</f>
        <v xml:space="preserve">SEDE </v>
      </c>
      <c r="L202" s="81"/>
      <c r="M202" s="117">
        <f>Tabela2[[#This Row],[VALOR VSC PERCURSO]]+Tabela2[[#This Row],[VALOR ]]</f>
        <v>83.05</v>
      </c>
    </row>
    <row r="203" spans="1:13" ht="15.75" customHeight="1" x14ac:dyDescent="0.25">
      <c r="A203" s="8">
        <v>394</v>
      </c>
      <c r="B203" s="13" t="s">
        <v>115</v>
      </c>
      <c r="C203" s="9" t="s">
        <v>675</v>
      </c>
      <c r="D203" s="9">
        <v>8056</v>
      </c>
      <c r="E203" s="9">
        <v>25386</v>
      </c>
      <c r="F203" s="9">
        <v>74814370</v>
      </c>
      <c r="G203" s="13" t="s">
        <v>71</v>
      </c>
      <c r="H203" s="15">
        <v>3253.38</v>
      </c>
      <c r="I203" s="15">
        <v>0</v>
      </c>
      <c r="J203" s="61">
        <f>SUM(H203+I203)</f>
        <v>3253.38</v>
      </c>
      <c r="K203" s="67" t="str">
        <f>_xlfn.XLOOKUP(C203,'REGIONAIS-GEREX'!$C$3:$C$445,'REGIONAIS-GEREX'!$A$3:$A$445," ")</f>
        <v xml:space="preserve">SEDE </v>
      </c>
      <c r="L203" s="81"/>
      <c r="M203" s="117">
        <f>Tabela2[[#This Row],[VALOR VSC PERCURSO]]+Tabela2[[#This Row],[VALOR ]]</f>
        <v>3253.38</v>
      </c>
    </row>
    <row r="204" spans="1:13" ht="15.75" customHeight="1" x14ac:dyDescent="0.25">
      <c r="A204" s="8">
        <v>395</v>
      </c>
      <c r="B204" s="13" t="s">
        <v>129</v>
      </c>
      <c r="C204" s="9" t="s">
        <v>676</v>
      </c>
      <c r="D204" s="9">
        <v>12066</v>
      </c>
      <c r="E204" s="9">
        <v>25386</v>
      </c>
      <c r="F204" s="9">
        <v>74814427</v>
      </c>
      <c r="G204" s="13" t="s">
        <v>71</v>
      </c>
      <c r="H204" s="16">
        <v>21.19</v>
      </c>
      <c r="I204" s="15">
        <v>0</v>
      </c>
      <c r="J204" s="61">
        <f>SUM(H204+I204)</f>
        <v>21.19</v>
      </c>
      <c r="K204" s="67" t="str">
        <f>_xlfn.XLOOKUP(C204,'REGIONAIS-GEREX'!$C$3:$C$445,'REGIONAIS-GEREX'!$A$3:$A$445," ")</f>
        <v xml:space="preserve">SEDE </v>
      </c>
      <c r="L204" s="81"/>
      <c r="M204" s="117">
        <f>Tabela2[[#This Row],[VALOR VSC PERCURSO]]+Tabela2[[#This Row],[VALOR ]]</f>
        <v>21.19</v>
      </c>
    </row>
    <row r="205" spans="1:13" ht="15.75" customHeight="1" x14ac:dyDescent="0.25">
      <c r="A205" s="8">
        <v>409</v>
      </c>
      <c r="B205" s="11" t="s">
        <v>109</v>
      </c>
      <c r="C205" s="11"/>
      <c r="D205" s="11"/>
      <c r="E205" s="11"/>
      <c r="F205" s="11">
        <v>67981020</v>
      </c>
      <c r="G205" s="11" t="s">
        <v>71</v>
      </c>
      <c r="H205" s="15">
        <v>0</v>
      </c>
      <c r="I205" s="15">
        <v>0</v>
      </c>
      <c r="J205" s="61"/>
      <c r="K205" s="67" t="str">
        <f>_xlfn.XLOOKUP(C205,'REGIONAIS-GEREX'!$C$3:$C$445,'REGIONAIS-GEREX'!$A$3:$A$445," ")</f>
        <v xml:space="preserve"> </v>
      </c>
      <c r="L205" s="81"/>
      <c r="M205" s="117">
        <f>Tabela2[[#This Row],[VALOR VSC PERCURSO]]+Tabela2[[#This Row],[VALOR ]]</f>
        <v>0</v>
      </c>
    </row>
    <row r="206" spans="1:13" ht="15.75" customHeight="1" x14ac:dyDescent="0.25">
      <c r="A206" s="8">
        <v>418</v>
      </c>
      <c r="B206" s="13" t="s">
        <v>131</v>
      </c>
      <c r="C206" s="9">
        <v>92</v>
      </c>
      <c r="D206" s="9">
        <v>13316</v>
      </c>
      <c r="E206" s="9">
        <v>25386</v>
      </c>
      <c r="F206" s="9">
        <v>76245357</v>
      </c>
      <c r="G206" s="9" t="s">
        <v>71</v>
      </c>
      <c r="H206" s="15">
        <v>1468.12</v>
      </c>
      <c r="I206" s="15">
        <v>0</v>
      </c>
      <c r="J206" s="61">
        <f t="shared" ref="J206:J233" si="13">SUM(H206+I206)</f>
        <v>1468.12</v>
      </c>
      <c r="K206" s="67" t="str">
        <f>_xlfn.XLOOKUP(C206,'REGIONAIS-GEREX'!$C$3:$C$445,'REGIONAIS-GEREX'!$A$3:$A$445," ")</f>
        <v>Negócios Digitais</v>
      </c>
      <c r="L206" s="81"/>
      <c r="M206" s="117">
        <f>Tabela2[[#This Row],[VALOR VSC PERCURSO]]+Tabela2[[#This Row],[VALOR ]]</f>
        <v>1468.12</v>
      </c>
    </row>
    <row r="207" spans="1:13" ht="15.75" customHeight="1" x14ac:dyDescent="0.25">
      <c r="A207" s="8">
        <v>419</v>
      </c>
      <c r="B207" s="13" t="s">
        <v>132</v>
      </c>
      <c r="C207" s="9">
        <v>94</v>
      </c>
      <c r="D207" s="9">
        <v>8088</v>
      </c>
      <c r="E207" s="9">
        <v>25386</v>
      </c>
      <c r="F207" s="9">
        <v>76230457</v>
      </c>
      <c r="G207" s="9" t="s">
        <v>73</v>
      </c>
      <c r="H207" s="15">
        <v>828.55</v>
      </c>
      <c r="I207" s="15">
        <v>0</v>
      </c>
      <c r="J207" s="61">
        <f t="shared" si="13"/>
        <v>828.55</v>
      </c>
      <c r="K207" s="67" t="str">
        <f>_xlfn.XLOOKUP(C207,'REGIONAIS-GEREX'!$C$3:$C$445,'REGIONAIS-GEREX'!$A$3:$A$445," ")</f>
        <v>Negócios Digitais</v>
      </c>
      <c r="L207" s="93"/>
      <c r="M207" s="117">
        <f>Tabela2[[#This Row],[VALOR VSC PERCURSO]]+Tabela2[[#This Row],[VALOR ]]</f>
        <v>828.55</v>
      </c>
    </row>
    <row r="208" spans="1:13" ht="15.75" customHeight="1" x14ac:dyDescent="0.25">
      <c r="A208" s="8">
        <v>420</v>
      </c>
      <c r="B208" s="47" t="s">
        <v>158</v>
      </c>
      <c r="C208" s="10">
        <v>97</v>
      </c>
      <c r="D208" s="10">
        <v>13166</v>
      </c>
      <c r="E208" s="10">
        <v>25386</v>
      </c>
      <c r="F208" s="40">
        <v>77706064</v>
      </c>
      <c r="G208" s="21" t="s">
        <v>71</v>
      </c>
      <c r="H208" s="15">
        <v>153.81</v>
      </c>
      <c r="I208" s="15">
        <v>0</v>
      </c>
      <c r="J208" s="61">
        <f t="shared" si="13"/>
        <v>153.81</v>
      </c>
      <c r="K208" s="67" t="str">
        <f>_xlfn.XLOOKUP(C208,'REGIONAIS-GEREX'!$C$3:$C$445,'REGIONAIS-GEREX'!$A$3:$A$445," ")</f>
        <v>Negócios Digitais</v>
      </c>
      <c r="L208" s="81"/>
      <c r="M208" s="117">
        <f>Tabela2[[#This Row],[VALOR VSC PERCURSO]]+Tabela2[[#This Row],[VALOR ]]</f>
        <v>153.81</v>
      </c>
    </row>
    <row r="209" spans="1:13" ht="15.75" customHeight="1" x14ac:dyDescent="0.25">
      <c r="A209" s="8">
        <v>421</v>
      </c>
      <c r="B209" s="10" t="s">
        <v>110</v>
      </c>
      <c r="C209" s="10">
        <v>23</v>
      </c>
      <c r="D209" s="10">
        <v>8144</v>
      </c>
      <c r="E209" s="10">
        <v>25386</v>
      </c>
      <c r="F209" s="10">
        <v>67981038</v>
      </c>
      <c r="G209" s="10" t="s">
        <v>71</v>
      </c>
      <c r="H209" s="15">
        <v>196.76</v>
      </c>
      <c r="I209" s="15">
        <v>0</v>
      </c>
      <c r="J209" s="61">
        <f t="shared" si="13"/>
        <v>196.76</v>
      </c>
      <c r="K209" s="67" t="str">
        <f>_xlfn.XLOOKUP(C209,'REGIONAIS-GEREX'!$C$3:$C$445,'REGIONAIS-GEREX'!$A$3:$A$445," ")</f>
        <v>Serra Catarinense</v>
      </c>
      <c r="L209" s="81"/>
      <c r="M209" s="117">
        <f>Tabela2[[#This Row],[VALOR VSC PERCURSO]]+Tabela2[[#This Row],[VALOR ]]</f>
        <v>196.76</v>
      </c>
    </row>
    <row r="210" spans="1:13" ht="15.75" customHeight="1" x14ac:dyDescent="0.25">
      <c r="A210" s="8">
        <v>422</v>
      </c>
      <c r="B210" s="10" t="s">
        <v>105</v>
      </c>
      <c r="C210" s="10">
        <v>14</v>
      </c>
      <c r="D210" s="10">
        <v>8144</v>
      </c>
      <c r="E210" s="10">
        <v>25386</v>
      </c>
      <c r="F210" s="10">
        <v>336120</v>
      </c>
      <c r="G210" s="10" t="s">
        <v>9</v>
      </c>
      <c r="H210" s="15">
        <v>74.94</v>
      </c>
      <c r="I210" s="49">
        <v>157.54</v>
      </c>
      <c r="J210" s="61">
        <f t="shared" si="13"/>
        <v>232.48</v>
      </c>
      <c r="K210" s="67" t="str">
        <f>_xlfn.XLOOKUP(C210,'REGIONAIS-GEREX'!$C$3:$C$445,'REGIONAIS-GEREX'!$A$3:$A$445," ")</f>
        <v>Centro Norte</v>
      </c>
      <c r="L210" s="81"/>
      <c r="M210" s="117">
        <f>Tabela2[[#This Row],[VALOR VSC PERCURSO]]+Tabela2[[#This Row],[VALOR ]]</f>
        <v>232.48</v>
      </c>
    </row>
    <row r="211" spans="1:13" ht="15.75" customHeight="1" x14ac:dyDescent="0.25">
      <c r="A211" s="8">
        <v>423</v>
      </c>
      <c r="B211" s="48" t="s">
        <v>106</v>
      </c>
      <c r="C211" s="9">
        <v>15</v>
      </c>
      <c r="D211" s="9">
        <v>8144</v>
      </c>
      <c r="E211" s="9">
        <v>25386</v>
      </c>
      <c r="F211" s="9">
        <v>336125</v>
      </c>
      <c r="G211" s="48" t="s">
        <v>9</v>
      </c>
      <c r="H211" s="15">
        <v>431.4</v>
      </c>
      <c r="I211" s="15">
        <v>33.56</v>
      </c>
      <c r="J211" s="61">
        <f t="shared" si="13"/>
        <v>464.96</v>
      </c>
      <c r="K211" s="67" t="str">
        <f>_xlfn.XLOOKUP(C211,'REGIONAIS-GEREX'!$C$3:$C$445,'REGIONAIS-GEREX'!$A$3:$A$445," ")</f>
        <v>Extremo Oeste e Oeste</v>
      </c>
      <c r="L211" s="81"/>
      <c r="M211" s="117">
        <f>Tabela2[[#This Row],[VALOR VSC PERCURSO]]+Tabela2[[#This Row],[VALOR ]]</f>
        <v>464.96</v>
      </c>
    </row>
    <row r="212" spans="1:13" ht="15.75" customHeight="1" x14ac:dyDescent="0.25">
      <c r="A212" s="8">
        <v>424</v>
      </c>
      <c r="B212" s="10" t="s">
        <v>111</v>
      </c>
      <c r="C212" s="10">
        <v>15</v>
      </c>
      <c r="D212" s="10">
        <v>8144</v>
      </c>
      <c r="E212" s="10">
        <v>25386</v>
      </c>
      <c r="F212" s="10">
        <v>67981135</v>
      </c>
      <c r="G212" s="10" t="s">
        <v>71</v>
      </c>
      <c r="H212" s="15">
        <v>85.56</v>
      </c>
      <c r="I212" s="15">
        <v>0</v>
      </c>
      <c r="J212" s="61">
        <f t="shared" si="13"/>
        <v>85.56</v>
      </c>
      <c r="K212" s="67" t="str">
        <f>_xlfn.XLOOKUP(C212,'REGIONAIS-GEREX'!$C$3:$C$445,'REGIONAIS-GEREX'!$A$3:$A$445," ")</f>
        <v>Extremo Oeste e Oeste</v>
      </c>
      <c r="L212" s="81"/>
      <c r="M212" s="117">
        <f>Tabela2[[#This Row],[VALOR VSC PERCURSO]]+Tabela2[[#This Row],[VALOR ]]</f>
        <v>85.56</v>
      </c>
    </row>
    <row r="213" spans="1:13" ht="15.75" customHeight="1" x14ac:dyDescent="0.25">
      <c r="A213" s="8">
        <v>428</v>
      </c>
      <c r="B213" s="10" t="s">
        <v>646</v>
      </c>
      <c r="C213" s="10">
        <v>15</v>
      </c>
      <c r="D213" s="10">
        <v>8144</v>
      </c>
      <c r="E213" s="10">
        <v>25386</v>
      </c>
      <c r="F213" s="79">
        <v>72854359</v>
      </c>
      <c r="G213" s="77" t="s">
        <v>71</v>
      </c>
      <c r="H213" s="15">
        <v>173.78</v>
      </c>
      <c r="I213" s="16">
        <v>0</v>
      </c>
      <c r="J213" s="61">
        <f t="shared" si="13"/>
        <v>173.78</v>
      </c>
      <c r="K213" s="78" t="str">
        <f>_xlfn.XLOOKUP(C213,'REGIONAIS-GEREX'!$C$3:$C$445,'REGIONAIS-GEREX'!$A$3:$A$445," ")</f>
        <v>Extremo Oeste e Oeste</v>
      </c>
      <c r="L213" s="81"/>
      <c r="M213" s="117">
        <f>Tabela2[[#This Row],[VALOR VSC PERCURSO]]+Tabela2[[#This Row],[VALOR ]]</f>
        <v>173.78</v>
      </c>
    </row>
    <row r="214" spans="1:13" ht="15.75" customHeight="1" x14ac:dyDescent="0.25">
      <c r="A214" s="8">
        <v>429</v>
      </c>
      <c r="B214" s="10" t="s">
        <v>107</v>
      </c>
      <c r="C214" s="10">
        <v>23</v>
      </c>
      <c r="D214" s="10">
        <v>8144</v>
      </c>
      <c r="E214" s="10">
        <v>25386</v>
      </c>
      <c r="F214" s="10">
        <v>336091</v>
      </c>
      <c r="G214" s="10" t="s">
        <v>9</v>
      </c>
      <c r="H214" s="15">
        <v>335.56</v>
      </c>
      <c r="I214" s="50">
        <v>129.4</v>
      </c>
      <c r="J214" s="61">
        <f t="shared" si="13"/>
        <v>464.96000000000004</v>
      </c>
      <c r="K214" s="67" t="str">
        <f>_xlfn.XLOOKUP(C214,'REGIONAIS-GEREX'!$C$3:$C$445,'REGIONAIS-GEREX'!$A$3:$A$445," ")</f>
        <v>Serra Catarinense</v>
      </c>
      <c r="L214" s="81"/>
      <c r="M214" s="117">
        <f>Tabela2[[#This Row],[VALOR VSC PERCURSO]]+Tabela2[[#This Row],[VALOR ]]</f>
        <v>464.96000000000004</v>
      </c>
    </row>
    <row r="215" spans="1:13" ht="15.75" customHeight="1" x14ac:dyDescent="0.25">
      <c r="A215" s="8">
        <v>430</v>
      </c>
      <c r="B215" s="10" t="s">
        <v>108</v>
      </c>
      <c r="C215" s="10">
        <v>27</v>
      </c>
      <c r="D215" s="10">
        <v>8144</v>
      </c>
      <c r="E215" s="10">
        <v>25386</v>
      </c>
      <c r="F215" s="10">
        <v>10437946</v>
      </c>
      <c r="G215" s="10" t="s">
        <v>9</v>
      </c>
      <c r="H215" s="15">
        <v>310.08999999999997</v>
      </c>
      <c r="I215" s="50">
        <v>0</v>
      </c>
      <c r="J215" s="61">
        <f t="shared" si="13"/>
        <v>310.08999999999997</v>
      </c>
      <c r="K215" s="67" t="str">
        <f>_xlfn.XLOOKUP(C215,'REGIONAIS-GEREX'!$C$3:$C$445,'REGIONAIS-GEREX'!$A$3:$A$445," ")</f>
        <v>Litoral Sul e Sul</v>
      </c>
      <c r="L215" s="81"/>
      <c r="M215" s="117">
        <f>Tabela2[[#This Row],[VALOR VSC PERCURSO]]+Tabela2[[#This Row],[VALOR ]]</f>
        <v>310.08999999999997</v>
      </c>
    </row>
    <row r="216" spans="1:13" ht="15.75" customHeight="1" x14ac:dyDescent="0.25">
      <c r="A216" s="8">
        <v>437</v>
      </c>
      <c r="B216" s="46" t="s">
        <v>125</v>
      </c>
      <c r="C216" s="46">
        <v>4</v>
      </c>
      <c r="D216" s="46">
        <v>8144</v>
      </c>
      <c r="E216" s="46">
        <v>25386</v>
      </c>
      <c r="F216" s="11">
        <v>336227</v>
      </c>
      <c r="G216" s="11" t="s">
        <v>154</v>
      </c>
      <c r="H216" s="35">
        <f>SUM(H15/11)</f>
        <v>57.624545454545455</v>
      </c>
      <c r="I216" s="35">
        <f>$I$15/11</f>
        <v>5.7790909090909093</v>
      </c>
      <c r="J216" s="61">
        <f t="shared" si="13"/>
        <v>63.403636363636366</v>
      </c>
      <c r="K216" s="67" t="str">
        <f>_xlfn.XLOOKUP(C216,'REGIONAIS-GEREX'!$C$3:$C$445,'REGIONAIS-GEREX'!$A$3:$A$445," ")</f>
        <v>Vale do Itajaí</v>
      </c>
      <c r="L216" s="81"/>
      <c r="M216" s="117">
        <f>Tabela2[[#This Row],[VALOR VSC PERCURSO]]+Tabela2[[#This Row],[VALOR ]]</f>
        <v>63.403636363636366</v>
      </c>
    </row>
    <row r="217" spans="1:13" ht="15.75" customHeight="1" x14ac:dyDescent="0.25">
      <c r="A217" s="8">
        <v>438</v>
      </c>
      <c r="B217" s="9" t="s">
        <v>116</v>
      </c>
      <c r="C217" s="10">
        <v>73</v>
      </c>
      <c r="D217" s="10">
        <v>7638</v>
      </c>
      <c r="E217" s="10">
        <v>25386</v>
      </c>
      <c r="F217" s="10">
        <v>71928138</v>
      </c>
      <c r="G217" s="10" t="s">
        <v>71</v>
      </c>
      <c r="H217" s="15">
        <v>1690.15</v>
      </c>
      <c r="I217" s="15">
        <v>0</v>
      </c>
      <c r="J217" s="61">
        <f t="shared" si="13"/>
        <v>1690.15</v>
      </c>
      <c r="K217" s="67" t="str">
        <f>_xlfn.XLOOKUP(C217,'REGIONAIS-GEREX'!$C$3:$C$445,'REGIONAIS-GEREX'!$A$3:$A$445," ")</f>
        <v>Institutos SENAI de Inovação e Tecnologia</v>
      </c>
      <c r="L217" s="81"/>
      <c r="M217" s="117">
        <f>Tabela2[[#This Row],[VALOR VSC PERCURSO]]+Tabela2[[#This Row],[VALOR ]]</f>
        <v>1690.15</v>
      </c>
    </row>
    <row r="218" spans="1:13" ht="15.75" customHeight="1" x14ac:dyDescent="0.25">
      <c r="A218" s="8">
        <v>457</v>
      </c>
      <c r="B218" s="10" t="s">
        <v>112</v>
      </c>
      <c r="C218" s="10">
        <v>6</v>
      </c>
      <c r="D218" s="10">
        <v>8144</v>
      </c>
      <c r="E218" s="10">
        <v>25386</v>
      </c>
      <c r="F218" s="10">
        <v>67981232</v>
      </c>
      <c r="G218" s="10" t="s">
        <v>71</v>
      </c>
      <c r="H218" s="15">
        <v>659.22</v>
      </c>
      <c r="I218" s="15">
        <v>0</v>
      </c>
      <c r="J218" s="61">
        <f t="shared" si="13"/>
        <v>659.22</v>
      </c>
      <c r="K218" s="67" t="str">
        <f>_xlfn.XLOOKUP(C218,'REGIONAIS-GEREX'!$C$3:$C$445,'REGIONAIS-GEREX'!$A$3:$A$445," ")</f>
        <v>Vale do Itajaí Mirim e Foz do Rio Itajaí</v>
      </c>
      <c r="L218" s="81"/>
      <c r="M218" s="117">
        <f>Tabela2[[#This Row],[VALOR VSC PERCURSO]]+Tabela2[[#This Row],[VALOR ]]</f>
        <v>659.22</v>
      </c>
    </row>
    <row r="219" spans="1:13" ht="15.75" customHeight="1" x14ac:dyDescent="0.25">
      <c r="A219" s="8">
        <v>458</v>
      </c>
      <c r="B219" s="10" t="s">
        <v>113</v>
      </c>
      <c r="C219" s="10">
        <v>7</v>
      </c>
      <c r="D219" s="10">
        <v>8144</v>
      </c>
      <c r="E219" s="10">
        <v>25386</v>
      </c>
      <c r="F219" s="10">
        <v>67981259</v>
      </c>
      <c r="G219" s="10" t="s">
        <v>71</v>
      </c>
      <c r="H219" s="15">
        <v>84.41</v>
      </c>
      <c r="I219" s="15">
        <v>0</v>
      </c>
      <c r="J219" s="61">
        <f t="shared" si="13"/>
        <v>84.41</v>
      </c>
      <c r="K219" s="67" t="str">
        <f>_xlfn.XLOOKUP(C219,'REGIONAIS-GEREX'!$C$3:$C$445,'REGIONAIS-GEREX'!$A$3:$A$445," ")</f>
        <v>Vale do Itajaí Mirim e Foz do Rio Itajaí</v>
      </c>
      <c r="L219" s="81"/>
      <c r="M219" s="117">
        <f>Tabela2[[#This Row],[VALOR VSC PERCURSO]]+Tabela2[[#This Row],[VALOR ]]</f>
        <v>84.41</v>
      </c>
    </row>
    <row r="220" spans="1:13" ht="15.75" customHeight="1" x14ac:dyDescent="0.25">
      <c r="A220" s="8">
        <v>467</v>
      </c>
      <c r="B220" s="10" t="s">
        <v>117</v>
      </c>
      <c r="C220" s="10">
        <v>24</v>
      </c>
      <c r="D220" s="10">
        <v>8144</v>
      </c>
      <c r="E220" s="10">
        <v>25386</v>
      </c>
      <c r="F220" s="10">
        <v>336105</v>
      </c>
      <c r="G220" s="10" t="s">
        <v>9</v>
      </c>
      <c r="H220" s="15">
        <v>224.33</v>
      </c>
      <c r="I220" s="15">
        <v>473.11</v>
      </c>
      <c r="J220" s="61">
        <f t="shared" si="13"/>
        <v>697.44</v>
      </c>
      <c r="K220" s="67" t="str">
        <f>_xlfn.XLOOKUP(C220,'REGIONAIS-GEREX'!$C$3:$C$445,'REGIONAIS-GEREX'!$A$3:$A$445," ")</f>
        <v>Litoral Sul e Sul</v>
      </c>
      <c r="L220" s="81"/>
      <c r="M220" s="117">
        <f>Tabela2[[#This Row],[VALOR VSC PERCURSO]]+Tabela2[[#This Row],[VALOR ]]</f>
        <v>697.44</v>
      </c>
    </row>
    <row r="221" spans="1:13" ht="15.75" customHeight="1" x14ac:dyDescent="0.25">
      <c r="A221" s="8">
        <v>469</v>
      </c>
      <c r="B221" s="10" t="s">
        <v>118</v>
      </c>
      <c r="C221" s="10">
        <v>9</v>
      </c>
      <c r="D221" s="10">
        <v>8144</v>
      </c>
      <c r="E221" s="10">
        <v>25386</v>
      </c>
      <c r="F221" s="10">
        <v>336109</v>
      </c>
      <c r="G221" s="10" t="s">
        <v>9</v>
      </c>
      <c r="H221" s="15">
        <v>307.44</v>
      </c>
      <c r="I221" s="15">
        <v>390</v>
      </c>
      <c r="J221" s="61">
        <f t="shared" si="13"/>
        <v>697.44</v>
      </c>
      <c r="K221" s="67" t="str">
        <f>_xlfn.XLOOKUP(C221,'REGIONAIS-GEREX'!$C$3:$C$445,'REGIONAIS-GEREX'!$A$3:$A$445," ")</f>
        <v>Norte Nordeste</v>
      </c>
      <c r="L221" s="81"/>
      <c r="M221" s="117">
        <f>Tabela2[[#This Row],[VALOR VSC PERCURSO]]+Tabela2[[#This Row],[VALOR ]]</f>
        <v>697.44</v>
      </c>
    </row>
    <row r="222" spans="1:13" ht="15.75" customHeight="1" x14ac:dyDescent="0.25">
      <c r="A222" s="8">
        <v>470</v>
      </c>
      <c r="B222" s="10" t="s">
        <v>119</v>
      </c>
      <c r="C222" s="10">
        <v>19</v>
      </c>
      <c r="D222" s="10">
        <v>8144</v>
      </c>
      <c r="E222" s="10">
        <v>25386</v>
      </c>
      <c r="F222" s="10">
        <v>336116</v>
      </c>
      <c r="G222" s="10" t="s">
        <v>9</v>
      </c>
      <c r="H222" s="15">
        <v>104</v>
      </c>
      <c r="I222" s="15">
        <v>128.47999999999999</v>
      </c>
      <c r="J222" s="61">
        <f t="shared" si="13"/>
        <v>232.48</v>
      </c>
      <c r="K222" s="67" t="str">
        <f>_xlfn.XLOOKUP(C222,'REGIONAIS-GEREX'!$C$3:$C$445,'REGIONAIS-GEREX'!$A$3:$A$445," ")</f>
        <v>Planalto Norte e Vale do Itapocu</v>
      </c>
      <c r="L222" s="81"/>
      <c r="M222" s="117">
        <f>Tabela2[[#This Row],[VALOR VSC PERCURSO]]+Tabela2[[#This Row],[VALOR ]]</f>
        <v>232.48</v>
      </c>
    </row>
    <row r="223" spans="1:13" ht="15.75" customHeight="1" x14ac:dyDescent="0.25">
      <c r="A223" s="8">
        <v>471</v>
      </c>
      <c r="B223" s="10" t="s">
        <v>120</v>
      </c>
      <c r="C223" s="10">
        <v>22</v>
      </c>
      <c r="D223" s="10">
        <v>8144</v>
      </c>
      <c r="E223" s="10">
        <v>25386</v>
      </c>
      <c r="F223" s="10">
        <v>336119</v>
      </c>
      <c r="G223" s="10" t="s">
        <v>9</v>
      </c>
      <c r="H223" s="15">
        <v>348.28</v>
      </c>
      <c r="I223" s="15">
        <v>116.68</v>
      </c>
      <c r="J223" s="61">
        <f t="shared" si="13"/>
        <v>464.96</v>
      </c>
      <c r="K223" s="67" t="str">
        <f>_xlfn.XLOOKUP(C223,'REGIONAIS-GEREX'!$C$3:$C$445,'REGIONAIS-GEREX'!$A$3:$A$445," ")</f>
        <v>Centro Norte</v>
      </c>
      <c r="L223" s="81"/>
      <c r="M223" s="117">
        <f>Tabela2[[#This Row],[VALOR VSC PERCURSO]]+Tabela2[[#This Row],[VALOR ]]</f>
        <v>464.96</v>
      </c>
    </row>
    <row r="224" spans="1:13" ht="15.75" customHeight="1" x14ac:dyDescent="0.25">
      <c r="A224" s="8">
        <v>473</v>
      </c>
      <c r="B224" s="9" t="s">
        <v>121</v>
      </c>
      <c r="C224" s="9">
        <v>7</v>
      </c>
      <c r="D224" s="9">
        <v>8144</v>
      </c>
      <c r="E224" s="9">
        <v>25386</v>
      </c>
      <c r="F224" s="9">
        <v>336081</v>
      </c>
      <c r="G224" s="10" t="s">
        <v>9</v>
      </c>
      <c r="H224" s="15">
        <v>252.44</v>
      </c>
      <c r="I224" s="15">
        <v>445</v>
      </c>
      <c r="J224" s="61">
        <f t="shared" si="13"/>
        <v>697.44</v>
      </c>
      <c r="K224" s="67" t="str">
        <f>_xlfn.XLOOKUP(C224,'REGIONAIS-GEREX'!$C$3:$C$445,'REGIONAIS-GEREX'!$A$3:$A$445," ")</f>
        <v>Vale do Itajaí Mirim e Foz do Rio Itajaí</v>
      </c>
      <c r="L224" s="81"/>
      <c r="M224" s="117">
        <f>Tabela2[[#This Row],[VALOR VSC PERCURSO]]+Tabela2[[#This Row],[VALOR ]]</f>
        <v>697.44</v>
      </c>
    </row>
    <row r="225" spans="1:13" ht="15.75" customHeight="1" x14ac:dyDescent="0.25">
      <c r="A225" s="8">
        <v>474</v>
      </c>
      <c r="B225" s="10" t="s">
        <v>122</v>
      </c>
      <c r="C225" s="10">
        <v>6</v>
      </c>
      <c r="D225" s="10">
        <v>8144</v>
      </c>
      <c r="E225" s="10">
        <v>25386</v>
      </c>
      <c r="F225" s="10">
        <v>336084</v>
      </c>
      <c r="G225" s="10" t="s">
        <v>9</v>
      </c>
      <c r="H225" s="15">
        <v>132.12</v>
      </c>
      <c r="I225" s="15">
        <v>332.84</v>
      </c>
      <c r="J225" s="61">
        <f t="shared" si="13"/>
        <v>464.96</v>
      </c>
      <c r="K225" s="67" t="str">
        <f>_xlfn.XLOOKUP(C225,'REGIONAIS-GEREX'!$C$3:$C$445,'REGIONAIS-GEREX'!$A$3:$A$445," ")</f>
        <v>Vale do Itajaí Mirim e Foz do Rio Itajaí</v>
      </c>
      <c r="L225" s="81"/>
      <c r="M225" s="117">
        <f>Tabela2[[#This Row],[VALOR VSC PERCURSO]]+Tabela2[[#This Row],[VALOR ]]</f>
        <v>464.96</v>
      </c>
    </row>
    <row r="226" spans="1:13" ht="15.75" customHeight="1" x14ac:dyDescent="0.25">
      <c r="A226" s="8">
        <v>476</v>
      </c>
      <c r="B226" s="13" t="s">
        <v>124</v>
      </c>
      <c r="C226" s="13">
        <v>63</v>
      </c>
      <c r="D226" s="13">
        <v>13166</v>
      </c>
      <c r="E226" s="13">
        <v>25386</v>
      </c>
      <c r="F226" s="13">
        <v>73343757</v>
      </c>
      <c r="G226" s="9" t="s">
        <v>71</v>
      </c>
      <c r="H226" s="15">
        <v>710.15</v>
      </c>
      <c r="I226" s="15">
        <v>0</v>
      </c>
      <c r="J226" s="61">
        <f t="shared" si="13"/>
        <v>710.15</v>
      </c>
      <c r="K226" s="67" t="str">
        <f>_xlfn.XLOOKUP(C226,'REGIONAIS-GEREX'!$C$3:$C$445,'REGIONAIS-GEREX'!$A$3:$A$445," ")</f>
        <v>Institutos SENAI de Inovação e Tecnologia</v>
      </c>
      <c r="L226" s="81"/>
      <c r="M226" s="117">
        <f>Tabela2[[#This Row],[VALOR VSC PERCURSO]]+Tabela2[[#This Row],[VALOR ]]</f>
        <v>710.15</v>
      </c>
    </row>
    <row r="227" spans="1:13" ht="15.75" customHeight="1" x14ac:dyDescent="0.25">
      <c r="A227" s="8">
        <v>477</v>
      </c>
      <c r="B227" s="13" t="s">
        <v>126</v>
      </c>
      <c r="C227" s="13">
        <v>22</v>
      </c>
      <c r="D227" s="10">
        <v>8144</v>
      </c>
      <c r="E227" s="9">
        <v>25386</v>
      </c>
      <c r="F227" s="13">
        <v>10399233</v>
      </c>
      <c r="G227" s="13" t="s">
        <v>76</v>
      </c>
      <c r="H227" s="15">
        <v>0</v>
      </c>
      <c r="I227" s="15">
        <v>232.48</v>
      </c>
      <c r="J227" s="61">
        <f t="shared" si="13"/>
        <v>232.48</v>
      </c>
      <c r="K227" s="67" t="str">
        <f>_xlfn.XLOOKUP(C227,'REGIONAIS-GEREX'!$C$3:$C$445,'REGIONAIS-GEREX'!$A$3:$A$445," ")</f>
        <v>Centro Norte</v>
      </c>
      <c r="L227" s="81"/>
      <c r="M227" s="117">
        <f>Tabela2[[#This Row],[VALOR VSC PERCURSO]]+Tabela2[[#This Row],[VALOR ]]</f>
        <v>232.48</v>
      </c>
    </row>
    <row r="228" spans="1:13" ht="15.75" customHeight="1" x14ac:dyDescent="0.25">
      <c r="A228" s="8">
        <v>479</v>
      </c>
      <c r="B228" s="13" t="s">
        <v>157</v>
      </c>
      <c r="C228" s="13">
        <v>63</v>
      </c>
      <c r="D228" s="10">
        <v>13166</v>
      </c>
      <c r="E228" s="10">
        <v>25386</v>
      </c>
      <c r="F228" s="13">
        <v>10401724</v>
      </c>
      <c r="G228" s="13" t="s">
        <v>76</v>
      </c>
      <c r="H228" s="15">
        <v>54.04</v>
      </c>
      <c r="I228" s="15">
        <v>1108.3599999999999</v>
      </c>
      <c r="J228" s="61">
        <f t="shared" si="13"/>
        <v>1162.3999999999999</v>
      </c>
      <c r="K228" s="67" t="str">
        <f>_xlfn.XLOOKUP(C228,'REGIONAIS-GEREX'!$C$3:$C$445,'REGIONAIS-GEREX'!$A$3:$A$445," ")</f>
        <v>Institutos SENAI de Inovação e Tecnologia</v>
      </c>
      <c r="L228" s="81"/>
      <c r="M228" s="117">
        <f>Tabela2[[#This Row],[VALOR VSC PERCURSO]]+Tabela2[[#This Row],[VALOR ]]</f>
        <v>1162.3999999999999</v>
      </c>
    </row>
    <row r="229" spans="1:13" ht="15.75" customHeight="1" x14ac:dyDescent="0.25">
      <c r="A229" s="8">
        <v>480</v>
      </c>
      <c r="B229" s="13" t="s">
        <v>128</v>
      </c>
      <c r="C229" s="13">
        <v>62</v>
      </c>
      <c r="D229" s="10">
        <v>12295</v>
      </c>
      <c r="E229" s="9">
        <v>25386</v>
      </c>
      <c r="F229" s="13">
        <v>74455770</v>
      </c>
      <c r="G229" s="13" t="s">
        <v>71</v>
      </c>
      <c r="H229" s="15">
        <v>204.35</v>
      </c>
      <c r="I229" s="50">
        <v>0</v>
      </c>
      <c r="J229" s="61">
        <f t="shared" si="13"/>
        <v>204.35</v>
      </c>
      <c r="K229" s="67" t="str">
        <f>_xlfn.XLOOKUP(C229,'REGIONAIS-GEREX'!$C$3:$C$445,'REGIONAIS-GEREX'!$A$3:$A$445," ")</f>
        <v>Institutos SENAI de Inovação e Tecnologia</v>
      </c>
      <c r="L229" s="81"/>
      <c r="M229" s="117">
        <f>Tabela2[[#This Row],[VALOR VSC PERCURSO]]+Tabela2[[#This Row],[VALOR ]]</f>
        <v>204.35</v>
      </c>
    </row>
    <row r="230" spans="1:13" ht="15.75" customHeight="1" x14ac:dyDescent="0.25">
      <c r="A230" s="8">
        <v>482</v>
      </c>
      <c r="B230" s="46" t="s">
        <v>669</v>
      </c>
      <c r="C230" s="11" t="s">
        <v>666</v>
      </c>
      <c r="D230" s="11">
        <v>12421</v>
      </c>
      <c r="E230" s="11">
        <v>25386</v>
      </c>
      <c r="F230" s="11">
        <v>74759000</v>
      </c>
      <c r="G230" s="46" t="s">
        <v>71</v>
      </c>
      <c r="H230" s="35">
        <f>$H$167/3</f>
        <v>269.73333333333335</v>
      </c>
      <c r="I230" s="35">
        <f>$I$167/3</f>
        <v>0</v>
      </c>
      <c r="J230" s="61">
        <f t="shared" si="13"/>
        <v>269.73333333333335</v>
      </c>
      <c r="K230" s="67" t="str">
        <f>_xlfn.XLOOKUP(C230,'REGIONAIS-GEREX'!$C$3:$C$445,'REGIONAIS-GEREX'!$A$3:$A$445," ")</f>
        <v xml:space="preserve">SEDE </v>
      </c>
      <c r="L230" s="81"/>
      <c r="M230" s="117">
        <f>Tabela2[[#This Row],[VALOR VSC PERCURSO]]+Tabela2[[#This Row],[VALOR ]]</f>
        <v>269.73333333333335</v>
      </c>
    </row>
    <row r="231" spans="1:13" ht="15.75" customHeight="1" x14ac:dyDescent="0.25">
      <c r="A231" s="8">
        <v>485</v>
      </c>
      <c r="B231" s="13" t="s">
        <v>130</v>
      </c>
      <c r="C231" s="9">
        <v>15</v>
      </c>
      <c r="D231" s="9">
        <v>8144</v>
      </c>
      <c r="E231" s="9">
        <v>25386</v>
      </c>
      <c r="F231" s="9">
        <v>10421170</v>
      </c>
      <c r="G231" s="9" t="s">
        <v>76</v>
      </c>
      <c r="H231" s="15">
        <v>216.18</v>
      </c>
      <c r="I231" s="15">
        <v>16.3</v>
      </c>
      <c r="J231" s="61">
        <f t="shared" si="13"/>
        <v>232.48000000000002</v>
      </c>
      <c r="K231" s="67" t="str">
        <f>_xlfn.XLOOKUP(C231,'REGIONAIS-GEREX'!$C$3:$C$445,'REGIONAIS-GEREX'!$A$3:$A$445," ")</f>
        <v>Extremo Oeste e Oeste</v>
      </c>
      <c r="L231" s="81"/>
      <c r="M231" s="117">
        <f>Tabela2[[#This Row],[VALOR VSC PERCURSO]]+Tabela2[[#This Row],[VALOR ]]</f>
        <v>232.48000000000002</v>
      </c>
    </row>
    <row r="232" spans="1:13" ht="15.75" customHeight="1" x14ac:dyDescent="0.25">
      <c r="A232" s="8">
        <v>488</v>
      </c>
      <c r="B232" s="9" t="s">
        <v>164</v>
      </c>
      <c r="C232" s="10">
        <v>54</v>
      </c>
      <c r="D232" s="10">
        <v>7648</v>
      </c>
      <c r="E232" s="10">
        <v>25386</v>
      </c>
      <c r="F232" s="9">
        <v>77035038</v>
      </c>
      <c r="G232" s="9" t="s">
        <v>71</v>
      </c>
      <c r="H232" s="15">
        <v>129.88</v>
      </c>
      <c r="I232" s="15">
        <v>0</v>
      </c>
      <c r="J232" s="61">
        <f t="shared" si="13"/>
        <v>129.88</v>
      </c>
      <c r="K232" s="67" t="str">
        <f>_xlfn.XLOOKUP(C232,'REGIONAIS-GEREX'!$C$3:$C$445,'REGIONAIS-GEREX'!$A$3:$A$445," ")</f>
        <v>Institutos SENAI de Inovação e Tecnologia</v>
      </c>
      <c r="L232" s="81"/>
      <c r="M232" s="117">
        <f>Tabela2[[#This Row],[VALOR VSC PERCURSO]]+Tabela2[[#This Row],[VALOR ]]</f>
        <v>129.88</v>
      </c>
    </row>
    <row r="233" spans="1:13" ht="15.75" customHeight="1" x14ac:dyDescent="0.25">
      <c r="A233" s="8">
        <v>489</v>
      </c>
      <c r="B233" s="9" t="s">
        <v>165</v>
      </c>
      <c r="C233" s="10">
        <v>81</v>
      </c>
      <c r="D233" s="10">
        <v>13166</v>
      </c>
      <c r="E233" s="10">
        <v>25386</v>
      </c>
      <c r="F233" s="9">
        <v>77068556</v>
      </c>
      <c r="G233" s="9" t="s">
        <v>71</v>
      </c>
      <c r="H233" s="15">
        <v>199.33</v>
      </c>
      <c r="I233" s="15">
        <v>0</v>
      </c>
      <c r="J233" s="61">
        <f t="shared" si="13"/>
        <v>199.33</v>
      </c>
      <c r="K233" s="67" t="str">
        <f>_xlfn.XLOOKUP(C233,'REGIONAIS-GEREX'!$C$3:$C$445,'REGIONAIS-GEREX'!$A$3:$A$445," ")</f>
        <v>Institutos SENAI de Inovação e Tecnologia</v>
      </c>
      <c r="L233" s="81"/>
      <c r="M233" s="117">
        <f>Tabela2[[#This Row],[VALOR VSC PERCURSO]]+Tabela2[[#This Row],[VALOR ]]</f>
        <v>199.33</v>
      </c>
    </row>
    <row r="234" spans="1:13" ht="15.75" customHeight="1" x14ac:dyDescent="0.25">
      <c r="A234" s="8">
        <v>491</v>
      </c>
      <c r="B234" s="26" t="s">
        <v>133</v>
      </c>
      <c r="C234" s="12"/>
      <c r="D234" s="12"/>
      <c r="E234" s="12"/>
      <c r="F234" s="12"/>
      <c r="G234" s="12"/>
      <c r="H234" s="27"/>
      <c r="I234" s="27"/>
      <c r="J234" s="61"/>
      <c r="K234" s="67" t="str">
        <f>_xlfn.XLOOKUP(C234,'REGIONAIS-GEREX'!$C$3:$C$445,'REGIONAIS-GEREX'!$A$3:$A$445," ")</f>
        <v xml:space="preserve"> </v>
      </c>
      <c r="L234" s="81"/>
      <c r="M234" s="117">
        <f>Tabela2[[#This Row],[VALOR VSC PERCURSO]]+Tabela2[[#This Row],[VALOR ]]</f>
        <v>0</v>
      </c>
    </row>
    <row r="235" spans="1:13" ht="15.75" customHeight="1" x14ac:dyDescent="0.25">
      <c r="A235" s="8">
        <v>496</v>
      </c>
      <c r="B235" s="10" t="s">
        <v>134</v>
      </c>
      <c r="C235" s="10">
        <v>6</v>
      </c>
      <c r="D235" s="10">
        <v>8144</v>
      </c>
      <c r="E235" s="10">
        <v>25393</v>
      </c>
      <c r="F235" s="10">
        <v>67980627</v>
      </c>
      <c r="G235" s="10" t="s">
        <v>71</v>
      </c>
      <c r="H235" s="15">
        <v>18.62</v>
      </c>
      <c r="I235" s="15">
        <v>0</v>
      </c>
      <c r="J235" s="61">
        <f t="shared" ref="J235:J247" si="14">SUM(H235+I235)</f>
        <v>18.62</v>
      </c>
      <c r="K235" s="67" t="str">
        <f>_xlfn.XLOOKUP(C235,'REGIONAIS-GEREX'!$C$3:$C$445,'REGIONAIS-GEREX'!$A$3:$A$445," ")</f>
        <v>Vale do Itajaí Mirim e Foz do Rio Itajaí</v>
      </c>
      <c r="L235" s="81"/>
      <c r="M235" s="117">
        <f>Tabela2[[#This Row],[VALOR VSC PERCURSO]]+Tabela2[[#This Row],[VALOR ]]</f>
        <v>18.62</v>
      </c>
    </row>
    <row r="236" spans="1:13" ht="15.75" customHeight="1" x14ac:dyDescent="0.25">
      <c r="A236" s="8">
        <v>512</v>
      </c>
      <c r="B236" s="46" t="s">
        <v>670</v>
      </c>
      <c r="C236" s="11" t="s">
        <v>667</v>
      </c>
      <c r="D236" s="11">
        <v>12421</v>
      </c>
      <c r="E236" s="11">
        <v>25393</v>
      </c>
      <c r="F236" s="11">
        <v>74759000</v>
      </c>
      <c r="G236" s="46"/>
      <c r="H236" s="35">
        <f>$H$167/3</f>
        <v>269.73333333333335</v>
      </c>
      <c r="I236" s="35">
        <f>$I$167/3</f>
        <v>0</v>
      </c>
      <c r="J236" s="61">
        <f t="shared" si="14"/>
        <v>269.73333333333335</v>
      </c>
      <c r="K236" s="67" t="str">
        <f>_xlfn.XLOOKUP(C236,'REGIONAIS-GEREX'!$C$3:$C$445,'REGIONAIS-GEREX'!$A$3:$A$445," ")</f>
        <v xml:space="preserve">SEDE </v>
      </c>
      <c r="L236" s="81"/>
      <c r="M236" s="117">
        <f>Tabela2[[#This Row],[VALOR VSC PERCURSO]]+Tabela2[[#This Row],[VALOR ]]</f>
        <v>269.73333333333335</v>
      </c>
    </row>
    <row r="237" spans="1:13" ht="15.75" customHeight="1" x14ac:dyDescent="0.25">
      <c r="A237" s="8">
        <v>513</v>
      </c>
      <c r="B237" s="13" t="s">
        <v>136</v>
      </c>
      <c r="C237" s="9" t="s">
        <v>679</v>
      </c>
      <c r="D237" s="9">
        <v>8056</v>
      </c>
      <c r="E237" s="9">
        <v>25393</v>
      </c>
      <c r="F237" s="9">
        <v>74814397</v>
      </c>
      <c r="G237" s="13" t="s">
        <v>71</v>
      </c>
      <c r="H237" s="15">
        <v>29.48</v>
      </c>
      <c r="I237" s="15">
        <v>0</v>
      </c>
      <c r="J237" s="61">
        <f t="shared" si="14"/>
        <v>29.48</v>
      </c>
      <c r="K237" s="67" t="str">
        <f>_xlfn.XLOOKUP(C237,'REGIONAIS-GEREX'!$C$3:$C$445,'REGIONAIS-GEREX'!$A$3:$A$445," ")</f>
        <v xml:space="preserve">SEDE </v>
      </c>
      <c r="L237" s="81"/>
      <c r="M237" s="117">
        <f>Tabela2[[#This Row],[VALOR VSC PERCURSO]]+Tabela2[[#This Row],[VALOR ]]</f>
        <v>29.48</v>
      </c>
    </row>
    <row r="238" spans="1:13" ht="15" customHeight="1" x14ac:dyDescent="0.25">
      <c r="A238" s="8">
        <v>524</v>
      </c>
      <c r="B238" s="10" t="s">
        <v>139</v>
      </c>
      <c r="C238" s="10" t="s">
        <v>680</v>
      </c>
      <c r="D238" s="10">
        <v>8006</v>
      </c>
      <c r="E238" s="10">
        <v>25337</v>
      </c>
      <c r="F238" s="10">
        <v>67980406</v>
      </c>
      <c r="G238" s="10" t="s">
        <v>71</v>
      </c>
      <c r="H238" s="16">
        <v>121.04</v>
      </c>
      <c r="I238" s="15">
        <v>0</v>
      </c>
      <c r="J238" s="61">
        <f t="shared" si="14"/>
        <v>121.04</v>
      </c>
      <c r="K238" s="67" t="str">
        <f>_xlfn.XLOOKUP(C238,'REGIONAIS-GEREX'!$C$3:$C$445,'REGIONAIS-GEREX'!$A$3:$A$445," ")</f>
        <v xml:space="preserve">SEDE </v>
      </c>
      <c r="L238" s="81"/>
      <c r="M238" s="117">
        <f>Tabela2[[#This Row],[VALOR VSC PERCURSO]]+Tabela2[[#This Row],[VALOR ]]</f>
        <v>121.04</v>
      </c>
    </row>
    <row r="239" spans="1:13" ht="15" customHeight="1" x14ac:dyDescent="0.25">
      <c r="A239" s="8">
        <v>534</v>
      </c>
      <c r="B239" s="10" t="s">
        <v>140</v>
      </c>
      <c r="C239" s="10" t="s">
        <v>681</v>
      </c>
      <c r="D239" s="10">
        <v>7980</v>
      </c>
      <c r="E239" s="10">
        <v>25337</v>
      </c>
      <c r="F239" s="10">
        <v>71565760</v>
      </c>
      <c r="G239" s="10" t="s">
        <v>71</v>
      </c>
      <c r="H239" s="15">
        <v>34.71</v>
      </c>
      <c r="I239" s="15">
        <v>0</v>
      </c>
      <c r="J239" s="61">
        <f t="shared" si="14"/>
        <v>34.71</v>
      </c>
      <c r="K239" s="78" t="str">
        <f>_xlfn.XLOOKUP(C239,'REGIONAIS-GEREX'!$C$3:$C$445,'REGIONAIS-GEREX'!$A$3:$A$445," ")</f>
        <v xml:space="preserve">SEDE </v>
      </c>
      <c r="L239" s="81"/>
      <c r="M239" s="117">
        <f>Tabela2[[#This Row],[VALOR VSC PERCURSO]]+Tabela2[[#This Row],[VALOR ]]</f>
        <v>34.71</v>
      </c>
    </row>
    <row r="240" spans="1:13" ht="15" customHeight="1" x14ac:dyDescent="0.25">
      <c r="A240" s="8">
        <v>535</v>
      </c>
      <c r="B240" s="10" t="s">
        <v>141</v>
      </c>
      <c r="C240" s="10" t="s">
        <v>696</v>
      </c>
      <c r="D240" s="10">
        <v>8047</v>
      </c>
      <c r="E240" s="10">
        <v>25337</v>
      </c>
      <c r="F240" s="10">
        <v>71565779</v>
      </c>
      <c r="G240" s="10" t="s">
        <v>71</v>
      </c>
      <c r="H240" s="15">
        <v>746.25</v>
      </c>
      <c r="I240" s="15">
        <v>0</v>
      </c>
      <c r="J240" s="61">
        <f t="shared" si="14"/>
        <v>746.25</v>
      </c>
      <c r="K240" s="78" t="str">
        <f>_xlfn.XLOOKUP(C240,'REGIONAIS-GEREX'!$C$3:$C$445,'REGIONAIS-GEREX'!$A$3:$A$445," ")</f>
        <v xml:space="preserve">SEDE </v>
      </c>
      <c r="L240" s="81"/>
      <c r="M240" s="117">
        <f>Tabela2[[#This Row],[VALOR VSC PERCURSO]]+Tabela2[[#This Row],[VALOR ]]</f>
        <v>746.25</v>
      </c>
    </row>
    <row r="241" spans="1:13" ht="15" customHeight="1" x14ac:dyDescent="0.25">
      <c r="A241" s="8">
        <v>539</v>
      </c>
      <c r="B241" s="10" t="s">
        <v>648</v>
      </c>
      <c r="C241" s="10">
        <v>1</v>
      </c>
      <c r="D241" s="10">
        <v>8120</v>
      </c>
      <c r="E241" s="10">
        <v>25337</v>
      </c>
      <c r="F241" s="10">
        <v>71567372</v>
      </c>
      <c r="G241" s="10" t="s">
        <v>71</v>
      </c>
      <c r="H241" s="15">
        <v>30.28</v>
      </c>
      <c r="I241" s="15">
        <v>0</v>
      </c>
      <c r="J241" s="61">
        <f t="shared" si="14"/>
        <v>30.28</v>
      </c>
      <c r="K241" s="78" t="str">
        <f>_xlfn.XLOOKUP(C241,'REGIONAIS-GEREX'!$C$3:$C$445,'REGIONAIS-GEREX'!$A$3:$A$445," ")</f>
        <v>SEDE</v>
      </c>
      <c r="L241" s="81"/>
      <c r="M241" s="117">
        <f>Tabela2[[#This Row],[VALOR VSC PERCURSO]]+Tabela2[[#This Row],[VALOR ]]</f>
        <v>30.28</v>
      </c>
    </row>
    <row r="242" spans="1:13" ht="15" customHeight="1" x14ac:dyDescent="0.25">
      <c r="A242" s="8">
        <v>544</v>
      </c>
      <c r="B242" s="10" t="s">
        <v>143</v>
      </c>
      <c r="C242" s="10" t="s">
        <v>683</v>
      </c>
      <c r="D242" s="10">
        <v>12793</v>
      </c>
      <c r="E242" s="10">
        <v>25337</v>
      </c>
      <c r="F242" s="13">
        <v>74713582</v>
      </c>
      <c r="G242" s="13" t="s">
        <v>71</v>
      </c>
      <c r="H242" s="15">
        <v>335.13</v>
      </c>
      <c r="I242" s="15">
        <v>0</v>
      </c>
      <c r="J242" s="61">
        <f t="shared" si="14"/>
        <v>335.13</v>
      </c>
      <c r="K242" s="78" t="str">
        <f>_xlfn.XLOOKUP(C242,'REGIONAIS-GEREX'!$C$3:$C$445,'REGIONAIS-GEREX'!$A$3:$A$445," ")</f>
        <v xml:space="preserve">SEDE </v>
      </c>
      <c r="L242" s="81"/>
      <c r="M242" s="117">
        <f>Tabela2[[#This Row],[VALOR VSC PERCURSO]]+Tabela2[[#This Row],[VALOR ]]</f>
        <v>335.13</v>
      </c>
    </row>
    <row r="243" spans="1:13" ht="15" customHeight="1" x14ac:dyDescent="0.25">
      <c r="A243" s="8">
        <v>547</v>
      </c>
      <c r="B243" s="10" t="s">
        <v>144</v>
      </c>
      <c r="C243" s="10" t="s">
        <v>684</v>
      </c>
      <c r="D243" s="10">
        <v>8058</v>
      </c>
      <c r="E243" s="10">
        <v>25337</v>
      </c>
      <c r="F243" s="13">
        <v>74814320</v>
      </c>
      <c r="G243" s="13" t="s">
        <v>71</v>
      </c>
      <c r="H243" s="15">
        <v>21.19</v>
      </c>
      <c r="I243" s="15">
        <v>0</v>
      </c>
      <c r="J243" s="61">
        <f t="shared" si="14"/>
        <v>21.19</v>
      </c>
      <c r="K243" s="78" t="str">
        <f>_xlfn.XLOOKUP(C243,'REGIONAIS-GEREX'!$C$3:$C$445,'REGIONAIS-GEREX'!$A$3:$A$445," ")</f>
        <v xml:space="preserve">SEDE </v>
      </c>
      <c r="L243" s="81"/>
      <c r="M243" s="117">
        <f>Tabela2[[#This Row],[VALOR VSC PERCURSO]]+Tabela2[[#This Row],[VALOR ]]</f>
        <v>21.19</v>
      </c>
    </row>
    <row r="244" spans="1:13" ht="15" customHeight="1" x14ac:dyDescent="0.25">
      <c r="A244" s="8">
        <v>550</v>
      </c>
      <c r="B244" s="10" t="s">
        <v>145</v>
      </c>
      <c r="C244" s="10" t="s">
        <v>685</v>
      </c>
      <c r="D244" s="10">
        <v>8056</v>
      </c>
      <c r="E244" s="10">
        <v>25337</v>
      </c>
      <c r="F244" s="13">
        <v>74814400</v>
      </c>
      <c r="G244" s="13" t="s">
        <v>71</v>
      </c>
      <c r="H244" s="15">
        <v>29.48</v>
      </c>
      <c r="I244" s="15">
        <v>0</v>
      </c>
      <c r="J244" s="61">
        <f t="shared" si="14"/>
        <v>29.48</v>
      </c>
      <c r="K244" s="78" t="str">
        <f>_xlfn.XLOOKUP(C244,'REGIONAIS-GEREX'!$C$3:$C$445,'REGIONAIS-GEREX'!$A$3:$A$445," ")</f>
        <v xml:space="preserve">SEDE </v>
      </c>
      <c r="L244" s="81"/>
      <c r="M244" s="117">
        <f>Tabela2[[#This Row],[VALOR VSC PERCURSO]]+Tabela2[[#This Row],[VALOR ]]</f>
        <v>29.48</v>
      </c>
    </row>
    <row r="245" spans="1:13" ht="15" customHeight="1" x14ac:dyDescent="0.25">
      <c r="A245" s="8">
        <v>552</v>
      </c>
      <c r="B245" s="10" t="s">
        <v>146</v>
      </c>
      <c r="C245" s="10">
        <v>1</v>
      </c>
      <c r="D245" s="10">
        <v>8056</v>
      </c>
      <c r="E245" s="10">
        <v>25337</v>
      </c>
      <c r="F245" s="13">
        <v>74977725</v>
      </c>
      <c r="G245" s="13" t="s">
        <v>71</v>
      </c>
      <c r="H245" s="15">
        <v>10.72</v>
      </c>
      <c r="I245" s="15">
        <v>0</v>
      </c>
      <c r="J245" s="61">
        <f t="shared" si="14"/>
        <v>10.72</v>
      </c>
      <c r="K245" s="78" t="str">
        <f>_xlfn.XLOOKUP(C245,'REGIONAIS-GEREX'!$C$3:$C$445,'REGIONAIS-GEREX'!$A$3:$A$445," ")</f>
        <v>SEDE</v>
      </c>
      <c r="L245" s="81"/>
      <c r="M245" s="117">
        <f>Tabela2[[#This Row],[VALOR VSC PERCURSO]]+Tabela2[[#This Row],[VALOR ]]</f>
        <v>10.72</v>
      </c>
    </row>
    <row r="246" spans="1:13" ht="15" customHeight="1" x14ac:dyDescent="0.25">
      <c r="A246" s="8">
        <v>553</v>
      </c>
      <c r="B246" s="10" t="s">
        <v>147</v>
      </c>
      <c r="C246" s="10" t="s">
        <v>686</v>
      </c>
      <c r="D246" s="10">
        <v>12047</v>
      </c>
      <c r="E246" s="10">
        <v>25337</v>
      </c>
      <c r="F246" s="13">
        <v>74713566</v>
      </c>
      <c r="G246" s="13" t="s">
        <v>71</v>
      </c>
      <c r="H246" s="15">
        <v>38.92</v>
      </c>
      <c r="I246" s="15">
        <v>0</v>
      </c>
      <c r="J246" s="61">
        <f t="shared" si="14"/>
        <v>38.92</v>
      </c>
      <c r="K246" s="78" t="str">
        <f>_xlfn.XLOOKUP(C246,'REGIONAIS-GEREX'!$C$3:$C$445,'REGIONAIS-GEREX'!$A$3:$A$445," ")</f>
        <v xml:space="preserve">SEDE </v>
      </c>
      <c r="L246" s="81"/>
      <c r="M246" s="117">
        <f>Tabela2[[#This Row],[VALOR VSC PERCURSO]]+Tabela2[[#This Row],[VALOR ]]</f>
        <v>38.92</v>
      </c>
    </row>
    <row r="247" spans="1:13" ht="15" customHeight="1" x14ac:dyDescent="0.25">
      <c r="A247" s="8">
        <v>555</v>
      </c>
      <c r="B247" s="10" t="s">
        <v>148</v>
      </c>
      <c r="C247" s="10" t="s">
        <v>687</v>
      </c>
      <c r="D247" s="10">
        <v>10719</v>
      </c>
      <c r="E247" s="10">
        <v>25337</v>
      </c>
      <c r="F247" s="13">
        <v>76622371</v>
      </c>
      <c r="G247" s="13" t="s">
        <v>71</v>
      </c>
      <c r="H247" s="15">
        <v>401.05</v>
      </c>
      <c r="I247" s="15">
        <v>0</v>
      </c>
      <c r="J247" s="61">
        <f t="shared" si="14"/>
        <v>401.05</v>
      </c>
      <c r="K247" s="78" t="str">
        <f>_xlfn.XLOOKUP(C247,'REGIONAIS-GEREX'!$C$3:$C$445,'REGIONAIS-GEREX'!$A$3:$A$445," ")</f>
        <v xml:space="preserve">SEDE </v>
      </c>
      <c r="L247" s="81"/>
      <c r="M247" s="117">
        <f>Tabela2[[#This Row],[VALOR VSC PERCURSO]]+Tabela2[[#This Row],[VALOR ]]</f>
        <v>401.05</v>
      </c>
    </row>
    <row r="248" spans="1:13" ht="15" customHeight="1" x14ac:dyDescent="0.25">
      <c r="A248" s="8">
        <v>558</v>
      </c>
      <c r="B248" s="17" t="s">
        <v>149</v>
      </c>
      <c r="C248" s="17"/>
      <c r="D248" s="17"/>
      <c r="E248" s="17"/>
      <c r="F248" s="17"/>
      <c r="G248" s="17"/>
      <c r="H248" s="18"/>
      <c r="I248" s="18"/>
      <c r="J248" s="61">
        <f>SUM(J2:J247)</f>
        <v>61592.019999999975</v>
      </c>
      <c r="K248" s="68"/>
      <c r="L248" s="81"/>
      <c r="M248" s="117">
        <f>Tabela2[[#This Row],[VALOR VSC PERCURSO]]+Tabela2[[#This Row],[VALOR ]]</f>
        <v>0</v>
      </c>
    </row>
  </sheetData>
  <phoneticPr fontId="21" type="noConversion"/>
  <pageMargins left="0.511811024" right="0.511811024" top="0.78740157499999996" bottom="0.78740157499999996" header="0" footer="0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25"/>
  <sheetViews>
    <sheetView topLeftCell="A224" zoomScale="99" zoomScaleNormal="99" workbookViewId="0">
      <selection activeCell="G236" sqref="G236"/>
    </sheetView>
  </sheetViews>
  <sheetFormatPr defaultColWidth="14.42578125" defaultRowHeight="15" customHeight="1" x14ac:dyDescent="0.25"/>
  <cols>
    <col min="1" max="1" width="24.42578125" customWidth="1"/>
    <col min="2" max="2" width="17" customWidth="1"/>
    <col min="3" max="3" width="9.140625" customWidth="1"/>
    <col min="4" max="4" width="12.5703125" customWidth="1"/>
    <col min="5" max="5" width="14.7109375" customWidth="1"/>
  </cols>
  <sheetData>
    <row r="1" spans="1:5" ht="15.75" customHeight="1" x14ac:dyDescent="0.25">
      <c r="A1" s="75" t="s">
        <v>1</v>
      </c>
      <c r="B1" s="70" t="s">
        <v>2</v>
      </c>
      <c r="C1" s="70" t="s">
        <v>3</v>
      </c>
      <c r="D1" s="70" t="s">
        <v>4</v>
      </c>
      <c r="E1" s="72" t="s">
        <v>8</v>
      </c>
    </row>
    <row r="2" spans="1:5" ht="15.75" customHeight="1" x14ac:dyDescent="0.25">
      <c r="A2" s="74" t="s">
        <v>150</v>
      </c>
      <c r="B2" s="52">
        <v>100</v>
      </c>
      <c r="C2" s="21">
        <v>7980</v>
      </c>
      <c r="D2" s="21">
        <v>25318</v>
      </c>
      <c r="E2" s="83">
        <v>77.27</v>
      </c>
    </row>
    <row r="3" spans="1:5" ht="15.75" customHeight="1" x14ac:dyDescent="0.25">
      <c r="A3" s="74" t="s">
        <v>150</v>
      </c>
      <c r="B3" s="52">
        <v>100</v>
      </c>
      <c r="C3" s="21">
        <v>7980</v>
      </c>
      <c r="D3" s="21">
        <v>25318</v>
      </c>
      <c r="E3" s="83">
        <v>333.38</v>
      </c>
    </row>
    <row r="4" spans="1:5" ht="15.75" customHeight="1" x14ac:dyDescent="0.25">
      <c r="A4" s="74" t="s">
        <v>150</v>
      </c>
      <c r="B4" s="52">
        <v>100</v>
      </c>
      <c r="C4" s="21">
        <v>8056</v>
      </c>
      <c r="D4" s="21">
        <v>25318</v>
      </c>
      <c r="E4" s="83">
        <v>1767.96</v>
      </c>
    </row>
    <row r="5" spans="1:5" ht="15.75" customHeight="1" x14ac:dyDescent="0.25">
      <c r="A5" s="74" t="s">
        <v>150</v>
      </c>
      <c r="B5" s="52">
        <v>203</v>
      </c>
      <c r="C5" s="21">
        <v>8144</v>
      </c>
      <c r="D5" s="21">
        <v>25318</v>
      </c>
      <c r="E5" s="83">
        <v>348.72</v>
      </c>
    </row>
    <row r="6" spans="1:5" ht="15.75" customHeight="1" x14ac:dyDescent="0.25">
      <c r="A6" s="74" t="s">
        <v>150</v>
      </c>
      <c r="B6" s="52">
        <v>211</v>
      </c>
      <c r="C6" s="21">
        <v>8144</v>
      </c>
      <c r="D6" s="21">
        <v>25318</v>
      </c>
      <c r="E6" s="83">
        <v>348.72</v>
      </c>
    </row>
    <row r="7" spans="1:5" ht="15.75" customHeight="1" x14ac:dyDescent="0.25">
      <c r="A7" s="74" t="s">
        <v>150</v>
      </c>
      <c r="B7" s="52">
        <v>215</v>
      </c>
      <c r="C7" s="21">
        <v>8144</v>
      </c>
      <c r="D7" s="21">
        <v>25318</v>
      </c>
      <c r="E7" s="83">
        <v>464.96</v>
      </c>
    </row>
    <row r="8" spans="1:5" ht="15.75" customHeight="1" x14ac:dyDescent="0.25">
      <c r="A8" s="74" t="s">
        <v>150</v>
      </c>
      <c r="B8" s="52">
        <v>208</v>
      </c>
      <c r="C8" s="21">
        <v>8144</v>
      </c>
      <c r="D8" s="21">
        <v>25318</v>
      </c>
      <c r="E8" s="83">
        <v>290.60000000000002</v>
      </c>
    </row>
    <row r="9" spans="1:5" ht="15.75" customHeight="1" x14ac:dyDescent="0.25">
      <c r="A9" s="74" t="s">
        <v>150</v>
      </c>
      <c r="B9" s="52">
        <v>212</v>
      </c>
      <c r="C9" s="21">
        <v>8144</v>
      </c>
      <c r="D9" s="21">
        <v>25318</v>
      </c>
      <c r="E9" s="83">
        <v>1162.4000000000001</v>
      </c>
    </row>
    <row r="10" spans="1:5" ht="15.75" customHeight="1" x14ac:dyDescent="0.25">
      <c r="A10" s="74" t="s">
        <v>150</v>
      </c>
      <c r="B10" s="52">
        <v>223</v>
      </c>
      <c r="C10" s="21">
        <v>8144</v>
      </c>
      <c r="D10" s="21">
        <v>25318</v>
      </c>
      <c r="E10" s="83">
        <v>464.96000000000004</v>
      </c>
    </row>
    <row r="11" spans="1:5" ht="15.75" customHeight="1" x14ac:dyDescent="0.25">
      <c r="A11" s="74" t="s">
        <v>150</v>
      </c>
      <c r="B11" s="52">
        <v>207</v>
      </c>
      <c r="C11" s="21">
        <v>8144</v>
      </c>
      <c r="D11" s="21">
        <v>25318</v>
      </c>
      <c r="E11" s="83">
        <v>146.65914999999998</v>
      </c>
    </row>
    <row r="12" spans="1:5" ht="15.75" customHeight="1" x14ac:dyDescent="0.25">
      <c r="A12" s="74" t="s">
        <v>150</v>
      </c>
      <c r="B12" s="52">
        <v>214</v>
      </c>
      <c r="C12" s="21">
        <v>8144</v>
      </c>
      <c r="D12" s="21">
        <v>25318</v>
      </c>
      <c r="E12" s="83">
        <v>150.16</v>
      </c>
    </row>
    <row r="13" spans="1:5" ht="15.75" customHeight="1" x14ac:dyDescent="0.25">
      <c r="A13" s="74" t="s">
        <v>150</v>
      </c>
      <c r="B13" s="52">
        <v>222</v>
      </c>
      <c r="C13" s="21">
        <v>8144</v>
      </c>
      <c r="D13" s="21">
        <v>25318</v>
      </c>
      <c r="E13" s="83">
        <v>232.48000000000002</v>
      </c>
    </row>
    <row r="14" spans="1:5" ht="15.75" customHeight="1" x14ac:dyDescent="0.25">
      <c r="A14" s="74" t="s">
        <v>150</v>
      </c>
      <c r="B14" s="52">
        <v>204</v>
      </c>
      <c r="C14" s="21">
        <v>8144</v>
      </c>
      <c r="D14" s="21">
        <v>25318</v>
      </c>
      <c r="E14" s="83">
        <v>232.48</v>
      </c>
    </row>
    <row r="15" spans="1:5" ht="15.75" customHeight="1" x14ac:dyDescent="0.25">
      <c r="A15" s="74" t="s">
        <v>150</v>
      </c>
      <c r="B15" s="52">
        <v>261</v>
      </c>
      <c r="C15" s="21">
        <v>8144</v>
      </c>
      <c r="D15" s="21">
        <v>25318</v>
      </c>
      <c r="E15" s="83">
        <v>116.24</v>
      </c>
    </row>
    <row r="16" spans="1:5" ht="15.75" customHeight="1" x14ac:dyDescent="0.25">
      <c r="A16" s="74" t="s">
        <v>150</v>
      </c>
      <c r="B16" s="52">
        <v>206</v>
      </c>
      <c r="C16" s="21">
        <v>8144</v>
      </c>
      <c r="D16" s="21">
        <v>25318</v>
      </c>
      <c r="E16" s="83">
        <v>116.24</v>
      </c>
    </row>
    <row r="17" spans="1:5" ht="15.75" customHeight="1" x14ac:dyDescent="0.25">
      <c r="A17" s="74" t="s">
        <v>150</v>
      </c>
      <c r="B17" s="52">
        <v>206</v>
      </c>
      <c r="C17" s="21">
        <v>8144</v>
      </c>
      <c r="D17" s="21">
        <v>25318</v>
      </c>
      <c r="E17" s="83">
        <v>19.73</v>
      </c>
    </row>
    <row r="18" spans="1:5" ht="15.75" customHeight="1" x14ac:dyDescent="0.25">
      <c r="A18" s="74" t="s">
        <v>150</v>
      </c>
      <c r="B18" s="52">
        <v>221</v>
      </c>
      <c r="C18" s="21">
        <v>8144</v>
      </c>
      <c r="D18" s="21">
        <v>25318</v>
      </c>
      <c r="E18" s="83">
        <v>464.96</v>
      </c>
    </row>
    <row r="19" spans="1:5" ht="15.75" customHeight="1" x14ac:dyDescent="0.25">
      <c r="A19" s="74" t="s">
        <v>150</v>
      </c>
      <c r="B19" s="52">
        <v>204</v>
      </c>
      <c r="C19" s="21">
        <v>8144</v>
      </c>
      <c r="D19" s="21">
        <v>25318</v>
      </c>
      <c r="E19" s="83">
        <v>464.96000000000004</v>
      </c>
    </row>
    <row r="20" spans="1:5" ht="15.75" customHeight="1" x14ac:dyDescent="0.25">
      <c r="A20" s="74" t="s">
        <v>150</v>
      </c>
      <c r="B20" s="52">
        <v>209</v>
      </c>
      <c r="C20" s="21">
        <v>8144</v>
      </c>
      <c r="D20" s="21">
        <v>25318</v>
      </c>
      <c r="E20" s="83">
        <v>37.92</v>
      </c>
    </row>
    <row r="21" spans="1:5" ht="15.75" customHeight="1" x14ac:dyDescent="0.25">
      <c r="A21" s="74" t="s">
        <v>150</v>
      </c>
      <c r="B21" s="52">
        <v>202</v>
      </c>
      <c r="C21" s="21">
        <v>8144</v>
      </c>
      <c r="D21" s="21">
        <v>25318</v>
      </c>
      <c r="E21" s="83">
        <v>38.020000000000003</v>
      </c>
    </row>
    <row r="22" spans="1:5" ht="15.75" customHeight="1" x14ac:dyDescent="0.25">
      <c r="A22" s="74" t="s">
        <v>150</v>
      </c>
      <c r="B22" s="52">
        <v>204</v>
      </c>
      <c r="C22" s="21">
        <v>8144</v>
      </c>
      <c r="D22" s="21">
        <v>25318</v>
      </c>
      <c r="E22" s="83">
        <v>19.03</v>
      </c>
    </row>
    <row r="23" spans="1:5" ht="15.75" customHeight="1" x14ac:dyDescent="0.25">
      <c r="A23" s="74" t="s">
        <v>150</v>
      </c>
      <c r="B23" s="52">
        <v>213</v>
      </c>
      <c r="C23" s="21">
        <v>8144</v>
      </c>
      <c r="D23" s="21">
        <v>25318</v>
      </c>
      <c r="E23" s="83">
        <v>33.200000000000003</v>
      </c>
    </row>
    <row r="24" spans="1:5" ht="15.75" customHeight="1" x14ac:dyDescent="0.25">
      <c r="A24" s="74" t="s">
        <v>150</v>
      </c>
      <c r="B24" s="52">
        <v>214</v>
      </c>
      <c r="C24" s="21">
        <v>8144</v>
      </c>
      <c r="D24" s="21">
        <v>25318</v>
      </c>
      <c r="E24" s="83">
        <v>6046.76</v>
      </c>
    </row>
    <row r="25" spans="1:5" ht="15.75" customHeight="1" x14ac:dyDescent="0.25">
      <c r="A25" s="74" t="s">
        <v>150</v>
      </c>
      <c r="B25" s="52">
        <v>215</v>
      </c>
      <c r="C25" s="21">
        <v>8144</v>
      </c>
      <c r="D25" s="21">
        <v>25318</v>
      </c>
      <c r="E25" s="83">
        <v>18.62</v>
      </c>
    </row>
    <row r="26" spans="1:5" ht="15.75" customHeight="1" x14ac:dyDescent="0.25">
      <c r="A26" s="74" t="s">
        <v>150</v>
      </c>
      <c r="B26" s="52">
        <v>221</v>
      </c>
      <c r="C26" s="21">
        <v>8144</v>
      </c>
      <c r="D26" s="21">
        <v>25318</v>
      </c>
      <c r="E26" s="83">
        <v>159.93</v>
      </c>
    </row>
    <row r="27" spans="1:5" ht="15.75" customHeight="1" x14ac:dyDescent="0.25">
      <c r="A27" s="74" t="s">
        <v>150</v>
      </c>
      <c r="B27" s="52">
        <v>223</v>
      </c>
      <c r="C27" s="21">
        <v>8144</v>
      </c>
      <c r="D27" s="21">
        <v>25318</v>
      </c>
      <c r="E27" s="83">
        <v>134.99</v>
      </c>
    </row>
    <row r="28" spans="1:5" ht="15.75" customHeight="1" x14ac:dyDescent="0.25">
      <c r="A28" s="74" t="s">
        <v>150</v>
      </c>
      <c r="B28" s="52">
        <v>205</v>
      </c>
      <c r="C28" s="21">
        <v>8144</v>
      </c>
      <c r="D28" s="21">
        <v>25318</v>
      </c>
      <c r="E28" s="83">
        <v>82.42</v>
      </c>
    </row>
    <row r="29" spans="1:5" ht="15.75" customHeight="1" x14ac:dyDescent="0.25">
      <c r="A29" s="74" t="s">
        <v>150</v>
      </c>
      <c r="B29" s="52">
        <v>207</v>
      </c>
      <c r="C29" s="21">
        <v>8144</v>
      </c>
      <c r="D29" s="21">
        <v>25318</v>
      </c>
      <c r="E29" s="83">
        <v>41.21</v>
      </c>
    </row>
    <row r="30" spans="1:5" ht="15.75" customHeight="1" x14ac:dyDescent="0.25">
      <c r="A30" s="74" t="s">
        <v>150</v>
      </c>
      <c r="B30" s="52">
        <v>229</v>
      </c>
      <c r="C30" s="21">
        <v>8144</v>
      </c>
      <c r="D30" s="21">
        <v>25318</v>
      </c>
      <c r="E30" s="83">
        <v>40.51</v>
      </c>
    </row>
    <row r="31" spans="1:5" ht="15.75" customHeight="1" x14ac:dyDescent="0.25">
      <c r="A31" s="74" t="s">
        <v>150</v>
      </c>
      <c r="B31" s="52">
        <v>219</v>
      </c>
      <c r="C31" s="21">
        <v>8144</v>
      </c>
      <c r="D31" s="21">
        <v>25318</v>
      </c>
      <c r="E31" s="83">
        <v>141.05000000000001</v>
      </c>
    </row>
    <row r="32" spans="1:5" ht="15.75" customHeight="1" x14ac:dyDescent="0.25">
      <c r="A32" s="74" t="s">
        <v>150</v>
      </c>
      <c r="B32" s="52">
        <v>222</v>
      </c>
      <c r="C32" s="21">
        <v>8144</v>
      </c>
      <c r="D32" s="21">
        <v>25318</v>
      </c>
      <c r="E32" s="83">
        <v>39.89</v>
      </c>
    </row>
    <row r="33" spans="1:5" ht="15.75" customHeight="1" x14ac:dyDescent="0.25">
      <c r="A33" s="74" t="s">
        <v>150</v>
      </c>
      <c r="B33" s="52">
        <v>212</v>
      </c>
      <c r="C33" s="21">
        <v>8144</v>
      </c>
      <c r="D33" s="21">
        <v>25318</v>
      </c>
      <c r="E33" s="83">
        <v>24.88</v>
      </c>
    </row>
    <row r="34" spans="1:5" ht="15.75" customHeight="1" x14ac:dyDescent="0.25">
      <c r="A34" s="74" t="s">
        <v>150</v>
      </c>
      <c r="B34" s="52">
        <v>208</v>
      </c>
      <c r="C34" s="21">
        <v>8144</v>
      </c>
      <c r="D34" s="21">
        <v>25318</v>
      </c>
      <c r="E34" s="83">
        <v>21.48</v>
      </c>
    </row>
    <row r="35" spans="1:5" ht="15.75" customHeight="1" x14ac:dyDescent="0.25">
      <c r="A35" s="74" t="s">
        <v>150</v>
      </c>
      <c r="B35" s="52">
        <v>206</v>
      </c>
      <c r="C35" s="21">
        <v>8144</v>
      </c>
      <c r="D35" s="21">
        <v>25318</v>
      </c>
      <c r="E35" s="83">
        <v>18.62</v>
      </c>
    </row>
    <row r="36" spans="1:5" ht="15.75" customHeight="1" x14ac:dyDescent="0.25">
      <c r="A36" s="74" t="s">
        <v>150</v>
      </c>
      <c r="B36" s="52">
        <v>219</v>
      </c>
      <c r="C36" s="21">
        <v>8144</v>
      </c>
      <c r="D36" s="21">
        <v>25318</v>
      </c>
      <c r="E36" s="83">
        <v>232.48</v>
      </c>
    </row>
    <row r="37" spans="1:5" ht="15.75" customHeight="1" x14ac:dyDescent="0.25">
      <c r="A37" s="74" t="s">
        <v>150</v>
      </c>
      <c r="B37" s="52">
        <v>233</v>
      </c>
      <c r="C37" s="21">
        <v>8144</v>
      </c>
      <c r="D37" s="21">
        <v>25318</v>
      </c>
      <c r="E37" s="83">
        <v>21.48</v>
      </c>
    </row>
    <row r="38" spans="1:5" ht="15.75" customHeight="1" x14ac:dyDescent="0.25">
      <c r="A38" s="74" t="s">
        <v>150</v>
      </c>
      <c r="B38" s="52">
        <v>221</v>
      </c>
      <c r="C38" s="21">
        <v>8144</v>
      </c>
      <c r="D38" s="21">
        <v>25318</v>
      </c>
      <c r="E38" s="83">
        <v>464.96000000000004</v>
      </c>
    </row>
    <row r="39" spans="1:5" ht="15.75" customHeight="1" x14ac:dyDescent="0.25">
      <c r="A39" s="74" t="s">
        <v>150</v>
      </c>
      <c r="B39" s="52">
        <v>206</v>
      </c>
      <c r="C39" s="21">
        <v>8144</v>
      </c>
      <c r="D39" s="21">
        <v>25318</v>
      </c>
      <c r="E39" s="83">
        <v>92.992000000000004</v>
      </c>
    </row>
    <row r="40" spans="1:5" ht="15.75" customHeight="1" x14ac:dyDescent="0.25">
      <c r="A40" s="74" t="s">
        <v>150</v>
      </c>
      <c r="B40" s="52">
        <v>233</v>
      </c>
      <c r="C40" s="21">
        <v>8144</v>
      </c>
      <c r="D40" s="21">
        <v>25318</v>
      </c>
      <c r="E40" s="83">
        <v>92.992000000000004</v>
      </c>
    </row>
    <row r="41" spans="1:5" ht="15.75" customHeight="1" x14ac:dyDescent="0.25">
      <c r="A41" s="74" t="s">
        <v>150</v>
      </c>
      <c r="B41" s="52">
        <v>206</v>
      </c>
      <c r="C41" s="21">
        <v>8144</v>
      </c>
      <c r="D41" s="21">
        <v>25318</v>
      </c>
      <c r="E41" s="83">
        <v>92.992000000000004</v>
      </c>
    </row>
    <row r="42" spans="1:5" ht="15.75" customHeight="1" x14ac:dyDescent="0.25">
      <c r="A42" s="74" t="s">
        <v>150</v>
      </c>
      <c r="B42" s="52">
        <v>229</v>
      </c>
      <c r="C42" s="21">
        <v>8144</v>
      </c>
      <c r="D42" s="21">
        <v>25318</v>
      </c>
      <c r="E42" s="83">
        <v>92.992000000000004</v>
      </c>
    </row>
    <row r="43" spans="1:5" ht="15.75" customHeight="1" x14ac:dyDescent="0.25">
      <c r="A43" s="74" t="s">
        <v>150</v>
      </c>
      <c r="B43" s="52">
        <v>204</v>
      </c>
      <c r="C43" s="21">
        <v>8144</v>
      </c>
      <c r="D43" s="21">
        <v>25318</v>
      </c>
      <c r="E43" s="83">
        <v>232.48</v>
      </c>
    </row>
    <row r="44" spans="1:5" ht="15.75" customHeight="1" x14ac:dyDescent="0.25">
      <c r="A44" s="74" t="s">
        <v>150</v>
      </c>
      <c r="B44" s="52">
        <v>205</v>
      </c>
      <c r="C44" s="21">
        <v>8144</v>
      </c>
      <c r="D44" s="21">
        <v>25318</v>
      </c>
      <c r="E44" s="83">
        <v>232.48</v>
      </c>
    </row>
    <row r="45" spans="1:5" ht="15.75" customHeight="1" x14ac:dyDescent="0.25">
      <c r="A45" s="74" t="s">
        <v>150</v>
      </c>
      <c r="B45" s="52">
        <v>229</v>
      </c>
      <c r="C45" s="21">
        <v>8144</v>
      </c>
      <c r="D45" s="21">
        <v>25318</v>
      </c>
      <c r="E45" s="83">
        <v>232.48000000000002</v>
      </c>
    </row>
    <row r="46" spans="1:5" ht="15.75" customHeight="1" x14ac:dyDescent="0.25">
      <c r="A46" s="74" t="s">
        <v>150</v>
      </c>
      <c r="B46" s="52">
        <v>244</v>
      </c>
      <c r="C46" s="21">
        <v>8154</v>
      </c>
      <c r="D46" s="21">
        <v>25318</v>
      </c>
      <c r="E46" s="83">
        <v>4.5358499999999999</v>
      </c>
    </row>
    <row r="47" spans="1:5" ht="15.75" customHeight="1" x14ac:dyDescent="0.25">
      <c r="A47" s="74" t="s">
        <v>150</v>
      </c>
      <c r="B47" s="52">
        <v>516</v>
      </c>
      <c r="C47" s="21">
        <v>8243</v>
      </c>
      <c r="D47" s="21">
        <v>25318</v>
      </c>
      <c r="E47" s="83">
        <v>232.48000000000002</v>
      </c>
    </row>
    <row r="48" spans="1:5" ht="15.75" customHeight="1" x14ac:dyDescent="0.25">
      <c r="A48" s="74" t="s">
        <v>150</v>
      </c>
      <c r="B48" s="52">
        <v>519</v>
      </c>
      <c r="C48" s="21">
        <v>8243</v>
      </c>
      <c r="D48" s="21">
        <v>25318</v>
      </c>
      <c r="E48" s="83">
        <v>232.48</v>
      </c>
    </row>
    <row r="49" spans="1:5" ht="15.75" customHeight="1" x14ac:dyDescent="0.25">
      <c r="A49" s="74" t="s">
        <v>150</v>
      </c>
      <c r="B49" s="52">
        <v>506</v>
      </c>
      <c r="C49" s="21">
        <v>8243</v>
      </c>
      <c r="D49" s="21">
        <v>25318</v>
      </c>
      <c r="E49" s="83">
        <v>290.60000000000002</v>
      </c>
    </row>
    <row r="50" spans="1:5" ht="15.75" customHeight="1" x14ac:dyDescent="0.25">
      <c r="A50" s="74" t="s">
        <v>150</v>
      </c>
      <c r="B50" s="52">
        <v>513</v>
      </c>
      <c r="C50" s="21">
        <v>8243</v>
      </c>
      <c r="D50" s="21">
        <v>25318</v>
      </c>
      <c r="E50" s="83">
        <v>290.60000000000002</v>
      </c>
    </row>
    <row r="51" spans="1:5" ht="15.75" customHeight="1" x14ac:dyDescent="0.25">
      <c r="A51" s="74" t="s">
        <v>150</v>
      </c>
      <c r="B51" s="52">
        <v>576</v>
      </c>
      <c r="C51" s="21">
        <v>8243</v>
      </c>
      <c r="D51" s="21">
        <v>25318</v>
      </c>
      <c r="E51" s="83">
        <v>290.60000000000002</v>
      </c>
    </row>
    <row r="52" spans="1:5" ht="15.75" customHeight="1" x14ac:dyDescent="0.25">
      <c r="A52" s="74" t="s">
        <v>150</v>
      </c>
      <c r="B52" s="52">
        <v>582</v>
      </c>
      <c r="C52" s="21">
        <v>8243</v>
      </c>
      <c r="D52" s="21">
        <v>25318</v>
      </c>
      <c r="E52" s="83">
        <v>232.48000000000002</v>
      </c>
    </row>
    <row r="53" spans="1:5" ht="15.75" customHeight="1" x14ac:dyDescent="0.25">
      <c r="A53" s="74" t="s">
        <v>150</v>
      </c>
      <c r="B53" s="52">
        <v>569</v>
      </c>
      <c r="C53" s="21">
        <v>8243</v>
      </c>
      <c r="D53" s="21">
        <v>25318</v>
      </c>
      <c r="E53" s="83">
        <v>232.48</v>
      </c>
    </row>
    <row r="54" spans="1:5" ht="15.75" customHeight="1" x14ac:dyDescent="0.25">
      <c r="A54" s="74" t="s">
        <v>150</v>
      </c>
      <c r="B54" s="52">
        <v>577</v>
      </c>
      <c r="C54" s="21">
        <v>8243</v>
      </c>
      <c r="D54" s="21">
        <v>25318</v>
      </c>
      <c r="E54" s="83">
        <v>232.48</v>
      </c>
    </row>
    <row r="55" spans="1:5" ht="15.75" customHeight="1" x14ac:dyDescent="0.25">
      <c r="A55" s="74" t="s">
        <v>150</v>
      </c>
      <c r="B55" s="52">
        <v>546</v>
      </c>
      <c r="C55" s="21">
        <v>8243</v>
      </c>
      <c r="D55" s="21">
        <v>25318</v>
      </c>
      <c r="E55" s="83">
        <v>63.4</v>
      </c>
    </row>
    <row r="56" spans="1:5" ht="15.75" customHeight="1" x14ac:dyDescent="0.25">
      <c r="A56" s="74" t="s">
        <v>150</v>
      </c>
      <c r="B56" s="52">
        <v>548</v>
      </c>
      <c r="C56" s="21">
        <v>8243</v>
      </c>
      <c r="D56" s="21">
        <v>25318</v>
      </c>
      <c r="E56" s="83">
        <v>63.4</v>
      </c>
    </row>
    <row r="57" spans="1:5" ht="15.75" customHeight="1" x14ac:dyDescent="0.25">
      <c r="A57" s="74" t="s">
        <v>150</v>
      </c>
      <c r="B57" s="52">
        <v>549</v>
      </c>
      <c r="C57" s="21">
        <v>8243</v>
      </c>
      <c r="D57" s="21">
        <v>25318</v>
      </c>
      <c r="E57" s="83">
        <v>63.4</v>
      </c>
    </row>
    <row r="58" spans="1:5" ht="15.75" customHeight="1" x14ac:dyDescent="0.25">
      <c r="A58" s="74" t="s">
        <v>150</v>
      </c>
      <c r="B58" s="52">
        <v>550</v>
      </c>
      <c r="C58" s="21">
        <v>8243</v>
      </c>
      <c r="D58" s="21">
        <v>25318</v>
      </c>
      <c r="E58" s="83">
        <v>63.4</v>
      </c>
    </row>
    <row r="59" spans="1:5" ht="15.75" customHeight="1" x14ac:dyDescent="0.25">
      <c r="A59" s="74" t="s">
        <v>150</v>
      </c>
      <c r="B59" s="52">
        <v>551</v>
      </c>
      <c r="C59" s="21">
        <v>8243</v>
      </c>
      <c r="D59" s="21">
        <v>25318</v>
      </c>
      <c r="E59" s="83">
        <v>63.4</v>
      </c>
    </row>
    <row r="60" spans="1:5" ht="15.75" customHeight="1" x14ac:dyDescent="0.25">
      <c r="A60" s="74" t="s">
        <v>150</v>
      </c>
      <c r="B60" s="52">
        <v>554</v>
      </c>
      <c r="C60" s="21">
        <v>8243</v>
      </c>
      <c r="D60" s="21">
        <v>25318</v>
      </c>
      <c r="E60" s="83">
        <v>63.4</v>
      </c>
    </row>
    <row r="61" spans="1:5" ht="15.75" customHeight="1" x14ac:dyDescent="0.25">
      <c r="A61" s="74" t="s">
        <v>150</v>
      </c>
      <c r="B61" s="52">
        <v>596</v>
      </c>
      <c r="C61" s="21">
        <v>8243</v>
      </c>
      <c r="D61" s="21">
        <v>25318</v>
      </c>
      <c r="E61" s="83">
        <v>63.4</v>
      </c>
    </row>
    <row r="62" spans="1:5" ht="15.75" customHeight="1" x14ac:dyDescent="0.25">
      <c r="A62" s="74" t="s">
        <v>150</v>
      </c>
      <c r="B62" s="52">
        <v>597</v>
      </c>
      <c r="C62" s="21">
        <v>8243</v>
      </c>
      <c r="D62" s="21">
        <v>25318</v>
      </c>
      <c r="E62" s="83">
        <v>63.4</v>
      </c>
    </row>
    <row r="63" spans="1:5" ht="15.75" customHeight="1" x14ac:dyDescent="0.25">
      <c r="A63" s="74" t="s">
        <v>150</v>
      </c>
      <c r="B63" s="52">
        <v>564</v>
      </c>
      <c r="C63" s="21">
        <v>8243</v>
      </c>
      <c r="D63" s="21">
        <v>25318</v>
      </c>
      <c r="E63" s="83">
        <v>63.4</v>
      </c>
    </row>
    <row r="64" spans="1:5" ht="15.75" customHeight="1" x14ac:dyDescent="0.25">
      <c r="A64" s="74" t="s">
        <v>150</v>
      </c>
      <c r="B64" s="52">
        <v>905</v>
      </c>
      <c r="C64" s="21">
        <v>8243</v>
      </c>
      <c r="D64" s="21">
        <v>25318</v>
      </c>
      <c r="E64" s="83">
        <v>63.4</v>
      </c>
    </row>
    <row r="65" spans="1:5" ht="15.75" customHeight="1" x14ac:dyDescent="0.25">
      <c r="A65" s="74" t="s">
        <v>150</v>
      </c>
      <c r="B65" s="52">
        <v>515</v>
      </c>
      <c r="C65" s="21">
        <v>8243</v>
      </c>
      <c r="D65" s="21">
        <v>25318</v>
      </c>
      <c r="E65" s="83">
        <v>232.48000000000002</v>
      </c>
    </row>
    <row r="66" spans="1:5" ht="15.75" customHeight="1" x14ac:dyDescent="0.25">
      <c r="A66" s="74" t="s">
        <v>150</v>
      </c>
      <c r="B66" s="52">
        <v>522</v>
      </c>
      <c r="C66" s="21">
        <v>8243</v>
      </c>
      <c r="D66" s="21">
        <v>25318</v>
      </c>
      <c r="E66" s="83">
        <v>232.48000000000002</v>
      </c>
    </row>
    <row r="67" spans="1:5" ht="15.75" customHeight="1" x14ac:dyDescent="0.25">
      <c r="A67" s="74" t="s">
        <v>150</v>
      </c>
      <c r="B67" s="52">
        <v>925</v>
      </c>
      <c r="C67" s="21">
        <v>8243</v>
      </c>
      <c r="D67" s="21">
        <v>25318</v>
      </c>
      <c r="E67" s="83">
        <v>232.48000000000002</v>
      </c>
    </row>
    <row r="68" spans="1:5" ht="15.75" customHeight="1" x14ac:dyDescent="0.25">
      <c r="A68" s="74" t="s">
        <v>150</v>
      </c>
      <c r="B68" s="52">
        <v>542</v>
      </c>
      <c r="C68" s="21">
        <v>8243</v>
      </c>
      <c r="D68" s="21">
        <v>25318</v>
      </c>
      <c r="E68" s="83">
        <v>232.48</v>
      </c>
    </row>
    <row r="69" spans="1:5" ht="15.75" customHeight="1" x14ac:dyDescent="0.25">
      <c r="A69" s="74" t="s">
        <v>150</v>
      </c>
      <c r="B69" s="52">
        <v>510</v>
      </c>
      <c r="C69" s="21">
        <v>8243</v>
      </c>
      <c r="D69" s="21">
        <v>25318</v>
      </c>
      <c r="E69" s="83">
        <v>151.19499999999999</v>
      </c>
    </row>
    <row r="70" spans="1:5" ht="15.75" customHeight="1" x14ac:dyDescent="0.25">
      <c r="A70" s="74" t="s">
        <v>150</v>
      </c>
      <c r="B70" s="52">
        <v>587</v>
      </c>
      <c r="C70" s="21">
        <v>8243</v>
      </c>
      <c r="D70" s="21">
        <v>25318</v>
      </c>
      <c r="E70" s="83">
        <v>151.19499999999999</v>
      </c>
    </row>
    <row r="71" spans="1:5" ht="15.75" customHeight="1" x14ac:dyDescent="0.25">
      <c r="A71" s="74" t="s">
        <v>150</v>
      </c>
      <c r="B71" s="52">
        <v>534</v>
      </c>
      <c r="C71" s="21">
        <v>8243</v>
      </c>
      <c r="D71" s="21">
        <v>25318</v>
      </c>
      <c r="E71" s="83">
        <v>300.32</v>
      </c>
    </row>
    <row r="72" spans="1:5" ht="15.75" customHeight="1" x14ac:dyDescent="0.25">
      <c r="A72" s="74" t="s">
        <v>150</v>
      </c>
      <c r="B72" s="52">
        <v>556</v>
      </c>
      <c r="C72" s="21">
        <v>8243</v>
      </c>
      <c r="D72" s="21">
        <v>25318</v>
      </c>
      <c r="E72" s="83">
        <v>150.16</v>
      </c>
    </row>
    <row r="73" spans="1:5" ht="15.75" customHeight="1" x14ac:dyDescent="0.25">
      <c r="A73" s="74" t="s">
        <v>150</v>
      </c>
      <c r="B73" s="52">
        <v>557</v>
      </c>
      <c r="C73" s="21">
        <v>8243</v>
      </c>
      <c r="D73" s="21">
        <v>25318</v>
      </c>
      <c r="E73" s="83">
        <v>150.16</v>
      </c>
    </row>
    <row r="74" spans="1:5" ht="15.75" customHeight="1" x14ac:dyDescent="0.25">
      <c r="A74" s="74" t="s">
        <v>150</v>
      </c>
      <c r="B74" s="52">
        <v>559</v>
      </c>
      <c r="C74" s="21">
        <v>8243</v>
      </c>
      <c r="D74" s="21">
        <v>25318</v>
      </c>
      <c r="E74" s="83">
        <v>150.16</v>
      </c>
    </row>
    <row r="75" spans="1:5" ht="15.75" customHeight="1" x14ac:dyDescent="0.25">
      <c r="A75" s="74" t="s">
        <v>150</v>
      </c>
      <c r="B75" s="52">
        <v>560</v>
      </c>
      <c r="C75" s="21">
        <v>8243</v>
      </c>
      <c r="D75" s="21">
        <v>25318</v>
      </c>
      <c r="E75" s="83">
        <v>150.16</v>
      </c>
    </row>
    <row r="76" spans="1:5" ht="15.75" customHeight="1" x14ac:dyDescent="0.25">
      <c r="A76" s="74" t="s">
        <v>150</v>
      </c>
      <c r="B76" s="52">
        <v>562</v>
      </c>
      <c r="C76" s="21">
        <v>8243</v>
      </c>
      <c r="D76" s="21">
        <v>25318</v>
      </c>
      <c r="E76" s="83">
        <v>150.16</v>
      </c>
    </row>
    <row r="77" spans="1:5" ht="15.75" customHeight="1" x14ac:dyDescent="0.25">
      <c r="A77" s="74" t="s">
        <v>150</v>
      </c>
      <c r="B77" s="52">
        <v>563</v>
      </c>
      <c r="C77" s="21">
        <v>8243</v>
      </c>
      <c r="D77" s="21">
        <v>25318</v>
      </c>
      <c r="E77" s="83">
        <v>150.16</v>
      </c>
    </row>
    <row r="78" spans="1:5" ht="15.75" customHeight="1" x14ac:dyDescent="0.25">
      <c r="A78" s="74" t="s">
        <v>150</v>
      </c>
      <c r="B78" s="52">
        <v>574</v>
      </c>
      <c r="C78" s="21">
        <v>8243</v>
      </c>
      <c r="D78" s="21">
        <v>25318</v>
      </c>
      <c r="E78" s="83">
        <v>150.16</v>
      </c>
    </row>
    <row r="79" spans="1:5" ht="15.75" customHeight="1" x14ac:dyDescent="0.25">
      <c r="A79" s="74" t="s">
        <v>150</v>
      </c>
      <c r="B79" s="52">
        <v>586</v>
      </c>
      <c r="C79" s="21">
        <v>8243</v>
      </c>
      <c r="D79" s="21">
        <v>25318</v>
      </c>
      <c r="E79" s="83">
        <v>150.16</v>
      </c>
    </row>
    <row r="80" spans="1:5" ht="15.75" customHeight="1" x14ac:dyDescent="0.25">
      <c r="A80" s="74" t="s">
        <v>150</v>
      </c>
      <c r="B80" s="52">
        <v>599</v>
      </c>
      <c r="C80" s="21">
        <v>8243</v>
      </c>
      <c r="D80" s="21">
        <v>25318</v>
      </c>
      <c r="E80" s="83">
        <v>150.16</v>
      </c>
    </row>
    <row r="81" spans="1:5" ht="15.75" customHeight="1" x14ac:dyDescent="0.25">
      <c r="A81" s="74" t="s">
        <v>150</v>
      </c>
      <c r="B81" s="52">
        <v>914</v>
      </c>
      <c r="C81" s="21">
        <v>8243</v>
      </c>
      <c r="D81" s="21">
        <v>25318</v>
      </c>
      <c r="E81" s="83">
        <v>232.48</v>
      </c>
    </row>
    <row r="82" spans="1:5" ht="15.75" customHeight="1" x14ac:dyDescent="0.25">
      <c r="A82" s="74" t="s">
        <v>150</v>
      </c>
      <c r="B82" s="52">
        <v>588</v>
      </c>
      <c r="C82" s="21">
        <v>8243</v>
      </c>
      <c r="D82" s="21">
        <v>25318</v>
      </c>
      <c r="E82" s="83">
        <v>232.48000000000002</v>
      </c>
    </row>
    <row r="83" spans="1:5" ht="15.75" customHeight="1" x14ac:dyDescent="0.25">
      <c r="A83" s="74" t="s">
        <v>150</v>
      </c>
      <c r="B83" s="52">
        <v>530</v>
      </c>
      <c r="C83" s="21">
        <v>8243</v>
      </c>
      <c r="D83" s="21">
        <v>25318</v>
      </c>
      <c r="E83" s="83">
        <v>464.96000000000004</v>
      </c>
    </row>
    <row r="84" spans="1:5" ht="15.75" customHeight="1" x14ac:dyDescent="0.25">
      <c r="A84" s="74" t="s">
        <v>150</v>
      </c>
      <c r="B84" s="52">
        <v>515</v>
      </c>
      <c r="C84" s="21">
        <v>8243</v>
      </c>
      <c r="D84" s="21">
        <v>25318</v>
      </c>
      <c r="E84" s="83">
        <v>232.48000000000002</v>
      </c>
    </row>
    <row r="85" spans="1:5" ht="15.75" customHeight="1" x14ac:dyDescent="0.25">
      <c r="A85" s="74" t="s">
        <v>150</v>
      </c>
      <c r="B85" s="52">
        <v>914</v>
      </c>
      <c r="C85" s="21">
        <v>8243</v>
      </c>
      <c r="D85" s="21">
        <v>25318</v>
      </c>
      <c r="E85" s="83">
        <v>116.24000000000001</v>
      </c>
    </row>
    <row r="86" spans="1:5" ht="15.75" customHeight="1" x14ac:dyDescent="0.25">
      <c r="A86" s="74" t="s">
        <v>150</v>
      </c>
      <c r="B86" s="52">
        <v>516</v>
      </c>
      <c r="C86" s="21">
        <v>8243</v>
      </c>
      <c r="D86" s="21">
        <v>25318</v>
      </c>
      <c r="E86" s="83">
        <v>464.96000000000004</v>
      </c>
    </row>
    <row r="87" spans="1:5" ht="15.75" customHeight="1" x14ac:dyDescent="0.25">
      <c r="A87" s="74" t="s">
        <v>150</v>
      </c>
      <c r="B87" s="52">
        <v>522</v>
      </c>
      <c r="C87" s="21">
        <v>8243</v>
      </c>
      <c r="D87" s="21">
        <v>25318</v>
      </c>
      <c r="E87" s="83">
        <v>348.72</v>
      </c>
    </row>
    <row r="88" spans="1:5" ht="15.75" customHeight="1" x14ac:dyDescent="0.25">
      <c r="A88" s="74" t="s">
        <v>150</v>
      </c>
      <c r="B88" s="52">
        <v>927</v>
      </c>
      <c r="C88" s="21">
        <v>8243</v>
      </c>
      <c r="D88" s="21">
        <v>25318</v>
      </c>
      <c r="E88" s="83">
        <v>464.96000000000004</v>
      </c>
    </row>
    <row r="89" spans="1:5" ht="15.75" customHeight="1" x14ac:dyDescent="0.25">
      <c r="A89" s="74" t="s">
        <v>150</v>
      </c>
      <c r="B89" s="52">
        <v>528</v>
      </c>
      <c r="C89" s="21">
        <v>8243</v>
      </c>
      <c r="D89" s="21">
        <v>25318</v>
      </c>
      <c r="E89" s="83">
        <v>232.48000000000002</v>
      </c>
    </row>
    <row r="90" spans="1:5" ht="15.75" customHeight="1" x14ac:dyDescent="0.25">
      <c r="A90" s="74" t="s">
        <v>150</v>
      </c>
      <c r="B90" s="52">
        <v>570</v>
      </c>
      <c r="C90" s="21">
        <v>8243</v>
      </c>
      <c r="D90" s="21">
        <v>25318</v>
      </c>
      <c r="E90" s="83">
        <v>46.496000000000002</v>
      </c>
    </row>
    <row r="91" spans="1:5" ht="15.75" customHeight="1" x14ac:dyDescent="0.25">
      <c r="A91" s="74" t="s">
        <v>150</v>
      </c>
      <c r="B91" s="52">
        <v>529</v>
      </c>
      <c r="C91" s="21">
        <v>8243</v>
      </c>
      <c r="D91" s="21">
        <v>25318</v>
      </c>
      <c r="E91" s="83">
        <v>232.48000000000002</v>
      </c>
    </row>
    <row r="92" spans="1:5" ht="15.75" customHeight="1" x14ac:dyDescent="0.25">
      <c r="A92" s="74" t="s">
        <v>150</v>
      </c>
      <c r="B92" s="52">
        <v>532</v>
      </c>
      <c r="C92" s="21">
        <v>8243</v>
      </c>
      <c r="D92" s="21">
        <v>25318</v>
      </c>
      <c r="E92" s="83">
        <v>46.496000000000002</v>
      </c>
    </row>
    <row r="93" spans="1:5" ht="15.75" customHeight="1" x14ac:dyDescent="0.25">
      <c r="A93" s="74" t="s">
        <v>150</v>
      </c>
      <c r="B93" s="52">
        <v>505</v>
      </c>
      <c r="C93" s="21">
        <v>8243</v>
      </c>
      <c r="D93" s="21">
        <v>25318</v>
      </c>
      <c r="E93" s="83">
        <v>464.96</v>
      </c>
    </row>
    <row r="94" spans="1:5" ht="15.75" customHeight="1" x14ac:dyDescent="0.25">
      <c r="A94" s="74" t="s">
        <v>150</v>
      </c>
      <c r="B94" s="52">
        <v>916</v>
      </c>
      <c r="C94" s="21">
        <v>8243</v>
      </c>
      <c r="D94" s="21">
        <v>25318</v>
      </c>
      <c r="E94" s="83">
        <v>232.48</v>
      </c>
    </row>
    <row r="95" spans="1:5" ht="15.75" customHeight="1" x14ac:dyDescent="0.25">
      <c r="A95" s="74" t="s">
        <v>150</v>
      </c>
      <c r="B95" s="52">
        <v>923</v>
      </c>
      <c r="C95" s="21">
        <v>8243</v>
      </c>
      <c r="D95" s="21">
        <v>25318</v>
      </c>
      <c r="E95" s="83">
        <v>154.98666666666668</v>
      </c>
    </row>
    <row r="96" spans="1:5" ht="15.75" customHeight="1" x14ac:dyDescent="0.25">
      <c r="A96" s="74" t="s">
        <v>150</v>
      </c>
      <c r="B96" s="52">
        <v>599</v>
      </c>
      <c r="C96" s="21">
        <v>8243</v>
      </c>
      <c r="D96" s="21">
        <v>25318</v>
      </c>
      <c r="E96" s="83">
        <v>158.6</v>
      </c>
    </row>
    <row r="97" spans="1:5" ht="15.75" customHeight="1" x14ac:dyDescent="0.25">
      <c r="A97" s="74" t="s">
        <v>150</v>
      </c>
      <c r="B97" s="52">
        <v>521</v>
      </c>
      <c r="C97" s="21">
        <v>8243</v>
      </c>
      <c r="D97" s="21">
        <v>25318</v>
      </c>
      <c r="E97" s="83">
        <v>154.98666666666668</v>
      </c>
    </row>
    <row r="98" spans="1:5" ht="15.75" customHeight="1" x14ac:dyDescent="0.25">
      <c r="A98" s="74" t="s">
        <v>150</v>
      </c>
      <c r="B98" s="52">
        <v>914</v>
      </c>
      <c r="C98" s="21">
        <v>8243</v>
      </c>
      <c r="D98" s="21">
        <v>25318</v>
      </c>
      <c r="E98" s="83">
        <v>116.24000000000001</v>
      </c>
    </row>
    <row r="99" spans="1:5" ht="15.75" customHeight="1" x14ac:dyDescent="0.25">
      <c r="A99" s="74" t="s">
        <v>150</v>
      </c>
      <c r="B99" s="52">
        <v>516</v>
      </c>
      <c r="C99" s="21">
        <v>8243</v>
      </c>
      <c r="D99" s="21">
        <v>25318</v>
      </c>
      <c r="E99" s="83">
        <v>464.96000000000004</v>
      </c>
    </row>
    <row r="100" spans="1:5" ht="15.75" customHeight="1" x14ac:dyDescent="0.25">
      <c r="A100" s="74" t="s">
        <v>150</v>
      </c>
      <c r="B100" s="52">
        <v>522</v>
      </c>
      <c r="C100" s="21">
        <v>8243</v>
      </c>
      <c r="D100" s="21">
        <v>25318</v>
      </c>
      <c r="E100" s="83">
        <v>348.72</v>
      </c>
    </row>
    <row r="101" spans="1:5" ht="15.75" customHeight="1" x14ac:dyDescent="0.25">
      <c r="A101" s="74" t="s">
        <v>150</v>
      </c>
      <c r="B101" s="52">
        <v>515</v>
      </c>
      <c r="C101" s="21">
        <v>8243</v>
      </c>
      <c r="D101" s="21">
        <v>25318</v>
      </c>
      <c r="E101" s="83">
        <v>232.48000000000002</v>
      </c>
    </row>
    <row r="102" spans="1:5" ht="15.75" customHeight="1" x14ac:dyDescent="0.25">
      <c r="A102" s="74" t="s">
        <v>150</v>
      </c>
      <c r="B102" s="52">
        <v>504</v>
      </c>
      <c r="C102" s="21">
        <v>8243</v>
      </c>
      <c r="D102" s="21">
        <v>25318</v>
      </c>
      <c r="E102" s="83">
        <v>154.98666666666668</v>
      </c>
    </row>
    <row r="103" spans="1:5" ht="15.75" customHeight="1" x14ac:dyDescent="0.25">
      <c r="A103" s="74" t="s">
        <v>150</v>
      </c>
      <c r="B103" s="52">
        <v>598</v>
      </c>
      <c r="C103" s="21">
        <v>8243</v>
      </c>
      <c r="D103" s="21">
        <v>25318</v>
      </c>
      <c r="E103" s="83">
        <v>464.96</v>
      </c>
    </row>
    <row r="104" spans="1:5" ht="15.75" customHeight="1" x14ac:dyDescent="0.25">
      <c r="A104" s="74" t="s">
        <v>150</v>
      </c>
      <c r="B104" s="52">
        <v>570</v>
      </c>
      <c r="C104" s="21">
        <v>8264</v>
      </c>
      <c r="D104" s="21">
        <v>25318</v>
      </c>
      <c r="E104" s="83">
        <v>77.493333333333339</v>
      </c>
    </row>
    <row r="105" spans="1:5" ht="15.75" customHeight="1" x14ac:dyDescent="0.25">
      <c r="A105" s="74" t="s">
        <v>150</v>
      </c>
      <c r="B105" s="52">
        <v>517</v>
      </c>
      <c r="C105" s="21">
        <v>8264</v>
      </c>
      <c r="D105" s="21">
        <v>25318</v>
      </c>
      <c r="E105" s="83">
        <v>77.493333333333339</v>
      </c>
    </row>
    <row r="106" spans="1:5" ht="15.75" customHeight="1" x14ac:dyDescent="0.25">
      <c r="A106" s="74" t="s">
        <v>150</v>
      </c>
      <c r="B106" s="52">
        <v>593</v>
      </c>
      <c r="C106" s="21">
        <v>8264</v>
      </c>
      <c r="D106" s="21">
        <v>25318</v>
      </c>
      <c r="E106" s="83">
        <v>77.493333333333339</v>
      </c>
    </row>
    <row r="107" spans="1:5" ht="15.75" customHeight="1" x14ac:dyDescent="0.25">
      <c r="A107" s="74" t="s">
        <v>150</v>
      </c>
      <c r="B107" s="52">
        <v>807</v>
      </c>
      <c r="C107" s="21">
        <v>8264</v>
      </c>
      <c r="D107" s="21">
        <v>25318</v>
      </c>
      <c r="E107" s="83">
        <v>151.19499999999999</v>
      </c>
    </row>
    <row r="108" spans="1:5" ht="15.75" customHeight="1" x14ac:dyDescent="0.25">
      <c r="A108" s="74" t="s">
        <v>150</v>
      </c>
      <c r="B108" s="52">
        <v>8035</v>
      </c>
      <c r="C108" s="21">
        <v>8264</v>
      </c>
      <c r="D108" s="21">
        <v>25318</v>
      </c>
      <c r="E108" s="83">
        <v>342.9</v>
      </c>
    </row>
    <row r="109" spans="1:5" ht="15.75" customHeight="1" x14ac:dyDescent="0.25">
      <c r="A109" s="74" t="s">
        <v>150</v>
      </c>
      <c r="B109" s="52">
        <v>805</v>
      </c>
      <c r="C109" s="21">
        <v>8264</v>
      </c>
      <c r="D109" s="21">
        <v>25318</v>
      </c>
      <c r="E109" s="83">
        <v>303.7</v>
      </c>
    </row>
    <row r="110" spans="1:5" ht="15.75" customHeight="1" x14ac:dyDescent="0.25">
      <c r="A110" s="74" t="s">
        <v>150</v>
      </c>
      <c r="B110" s="52">
        <v>865</v>
      </c>
      <c r="C110" s="21">
        <v>8264</v>
      </c>
      <c r="D110" s="21">
        <v>25318</v>
      </c>
      <c r="E110" s="83">
        <v>25.63</v>
      </c>
    </row>
    <row r="111" spans="1:5" ht="15.75" customHeight="1" x14ac:dyDescent="0.25">
      <c r="A111" s="74" t="s">
        <v>150</v>
      </c>
      <c r="B111" s="52">
        <v>861</v>
      </c>
      <c r="C111" s="21">
        <v>8264</v>
      </c>
      <c r="D111" s="21">
        <v>25318</v>
      </c>
      <c r="E111" s="83">
        <v>42.38</v>
      </c>
    </row>
    <row r="112" spans="1:5" ht="15.75" customHeight="1" x14ac:dyDescent="0.25">
      <c r="A112" s="74" t="s">
        <v>150</v>
      </c>
      <c r="B112" s="52">
        <v>804</v>
      </c>
      <c r="C112" s="21">
        <v>8264</v>
      </c>
      <c r="D112" s="21">
        <v>25318</v>
      </c>
      <c r="E112" s="83">
        <v>81.239999999999995</v>
      </c>
    </row>
    <row r="113" spans="1:5" ht="15.75" customHeight="1" x14ac:dyDescent="0.25">
      <c r="A113" s="74" t="s">
        <v>150</v>
      </c>
      <c r="B113" s="52">
        <v>432</v>
      </c>
      <c r="C113" s="21">
        <v>8264</v>
      </c>
      <c r="D113" s="21">
        <v>25318</v>
      </c>
      <c r="E113" s="83">
        <v>42.78</v>
      </c>
    </row>
    <row r="114" spans="1:5" ht="15.75" customHeight="1" x14ac:dyDescent="0.25">
      <c r="A114" s="74" t="s">
        <v>150</v>
      </c>
      <c r="B114" s="52">
        <v>8015</v>
      </c>
      <c r="C114" s="21">
        <v>8264</v>
      </c>
      <c r="D114" s="21">
        <v>25318</v>
      </c>
      <c r="E114" s="83">
        <v>88.79</v>
      </c>
    </row>
    <row r="115" spans="1:5" ht="15.75" customHeight="1" x14ac:dyDescent="0.25">
      <c r="A115" s="74" t="s">
        <v>150</v>
      </c>
      <c r="B115" s="52">
        <v>8004</v>
      </c>
      <c r="C115" s="21">
        <v>8264</v>
      </c>
      <c r="D115" s="21">
        <v>25318</v>
      </c>
      <c r="E115" s="83">
        <v>84.64</v>
      </c>
    </row>
    <row r="116" spans="1:5" ht="15.75" customHeight="1" x14ac:dyDescent="0.25">
      <c r="A116" s="74" t="s">
        <v>150</v>
      </c>
      <c r="B116" s="52">
        <v>8002</v>
      </c>
      <c r="C116" s="21">
        <v>8264</v>
      </c>
      <c r="D116" s="21">
        <v>25318</v>
      </c>
      <c r="E116" s="83">
        <v>71.44</v>
      </c>
    </row>
    <row r="117" spans="1:5" ht="15.75" customHeight="1" x14ac:dyDescent="0.25">
      <c r="A117" s="74" t="s">
        <v>150</v>
      </c>
      <c r="B117" s="52">
        <v>8010</v>
      </c>
      <c r="C117" s="21">
        <v>8264</v>
      </c>
      <c r="D117" s="21">
        <v>25318</v>
      </c>
      <c r="E117" s="83">
        <v>397.89</v>
      </c>
    </row>
    <row r="118" spans="1:5" ht="15.75" customHeight="1" x14ac:dyDescent="0.25">
      <c r="A118" s="74" t="s">
        <v>150</v>
      </c>
      <c r="B118" s="52">
        <v>8026</v>
      </c>
      <c r="C118" s="21">
        <v>8264</v>
      </c>
      <c r="D118" s="21">
        <v>25318</v>
      </c>
      <c r="E118" s="83">
        <v>221.98</v>
      </c>
    </row>
    <row r="119" spans="1:5" ht="15.75" customHeight="1" x14ac:dyDescent="0.25">
      <c r="A119" s="74" t="s">
        <v>150</v>
      </c>
      <c r="B119" s="52">
        <v>8029</v>
      </c>
      <c r="C119" s="21">
        <v>8264</v>
      </c>
      <c r="D119" s="21">
        <v>25318</v>
      </c>
      <c r="E119" s="83">
        <v>63.09</v>
      </c>
    </row>
    <row r="120" spans="1:5" ht="15.75" customHeight="1" x14ac:dyDescent="0.25">
      <c r="A120" s="74" t="s">
        <v>150</v>
      </c>
      <c r="B120" s="52">
        <v>8008</v>
      </c>
      <c r="C120" s="21">
        <v>8264</v>
      </c>
      <c r="D120" s="21">
        <v>25318</v>
      </c>
      <c r="E120" s="83">
        <v>40.72</v>
      </c>
    </row>
    <row r="121" spans="1:5" ht="15.75" customHeight="1" x14ac:dyDescent="0.25">
      <c r="A121" s="74" t="s">
        <v>150</v>
      </c>
      <c r="B121" s="52">
        <v>8019</v>
      </c>
      <c r="C121" s="21">
        <v>8264</v>
      </c>
      <c r="D121" s="21">
        <v>25318</v>
      </c>
      <c r="E121" s="83">
        <v>43.56</v>
      </c>
    </row>
    <row r="122" spans="1:5" ht="15.75" customHeight="1" x14ac:dyDescent="0.25">
      <c r="A122" s="74" t="s">
        <v>150</v>
      </c>
      <c r="B122" s="52">
        <v>4027</v>
      </c>
      <c r="C122" s="21">
        <v>8264</v>
      </c>
      <c r="D122" s="21">
        <v>25318</v>
      </c>
      <c r="E122" s="83">
        <v>55.09</v>
      </c>
    </row>
    <row r="123" spans="1:5" ht="15.75" customHeight="1" x14ac:dyDescent="0.25">
      <c r="A123" s="74" t="s">
        <v>150</v>
      </c>
      <c r="B123" s="52">
        <v>471</v>
      </c>
      <c r="C123" s="21">
        <v>8264</v>
      </c>
      <c r="D123" s="21">
        <v>25318</v>
      </c>
      <c r="E123" s="83">
        <v>70.67</v>
      </c>
    </row>
    <row r="124" spans="1:5" ht="15.75" customHeight="1" x14ac:dyDescent="0.25">
      <c r="A124" s="74" t="s">
        <v>150</v>
      </c>
      <c r="B124" s="52">
        <v>471</v>
      </c>
      <c r="C124" s="21">
        <v>8264</v>
      </c>
      <c r="D124" s="21">
        <v>25318</v>
      </c>
      <c r="E124" s="83">
        <v>106.28</v>
      </c>
    </row>
    <row r="125" spans="1:5" ht="15.75" customHeight="1" x14ac:dyDescent="0.25">
      <c r="A125" s="74" t="s">
        <v>150</v>
      </c>
      <c r="B125" s="52">
        <v>8008</v>
      </c>
      <c r="C125" s="21">
        <v>8264</v>
      </c>
      <c r="D125" s="21">
        <v>25318</v>
      </c>
      <c r="E125" s="83">
        <v>93.259999999999991</v>
      </c>
    </row>
    <row r="126" spans="1:5" ht="15.75" customHeight="1" x14ac:dyDescent="0.25">
      <c r="A126" s="74" t="s">
        <v>150</v>
      </c>
      <c r="B126" s="52">
        <v>4081</v>
      </c>
      <c r="C126" s="21">
        <v>8264</v>
      </c>
      <c r="D126" s="21">
        <v>25318</v>
      </c>
      <c r="E126" s="83">
        <v>56.709999999999994</v>
      </c>
    </row>
    <row r="127" spans="1:5" ht="15.75" customHeight="1" x14ac:dyDescent="0.25">
      <c r="A127" s="74" t="s">
        <v>150</v>
      </c>
      <c r="B127" s="52">
        <v>543</v>
      </c>
      <c r="C127" s="21">
        <v>8264</v>
      </c>
      <c r="D127" s="21">
        <v>25318</v>
      </c>
      <c r="E127" s="83">
        <v>139.488</v>
      </c>
    </row>
    <row r="128" spans="1:5" ht="15.75" customHeight="1" x14ac:dyDescent="0.25">
      <c r="A128" s="74" t="s">
        <v>150</v>
      </c>
      <c r="B128" s="52">
        <v>518</v>
      </c>
      <c r="C128" s="21">
        <v>8264</v>
      </c>
      <c r="D128" s="21">
        <v>25318</v>
      </c>
      <c r="E128" s="83">
        <v>185.98400000000001</v>
      </c>
    </row>
    <row r="129" spans="1:5" ht="15.75" customHeight="1" x14ac:dyDescent="0.25">
      <c r="A129" s="74" t="s">
        <v>150</v>
      </c>
      <c r="B129" s="52">
        <v>856</v>
      </c>
      <c r="C129" s="21">
        <v>8264</v>
      </c>
      <c r="D129" s="21">
        <v>25318</v>
      </c>
      <c r="E129" s="83">
        <v>40.72</v>
      </c>
    </row>
    <row r="130" spans="1:5" ht="15.75" customHeight="1" x14ac:dyDescent="0.25">
      <c r="A130" s="74" t="s">
        <v>150</v>
      </c>
      <c r="B130" s="52">
        <v>4007</v>
      </c>
      <c r="C130" s="21">
        <v>8264</v>
      </c>
      <c r="D130" s="21">
        <v>25318</v>
      </c>
      <c r="E130" s="83">
        <v>46.496000000000002</v>
      </c>
    </row>
    <row r="131" spans="1:5" ht="15.75" customHeight="1" x14ac:dyDescent="0.25">
      <c r="A131" s="74" t="s">
        <v>150</v>
      </c>
      <c r="B131" s="52">
        <v>8002</v>
      </c>
      <c r="C131" s="21">
        <v>8264</v>
      </c>
      <c r="D131" s="21">
        <v>25318</v>
      </c>
      <c r="E131" s="83">
        <v>201.96</v>
      </c>
    </row>
    <row r="132" spans="1:5" ht="15.75" customHeight="1" x14ac:dyDescent="0.25">
      <c r="A132" s="74" t="s">
        <v>150</v>
      </c>
      <c r="B132" s="52">
        <v>8002</v>
      </c>
      <c r="C132" s="21">
        <v>8264</v>
      </c>
      <c r="D132" s="21">
        <v>25318</v>
      </c>
      <c r="E132" s="83">
        <v>216.69</v>
      </c>
    </row>
    <row r="133" spans="1:5" ht="15.75" customHeight="1" x14ac:dyDescent="0.25">
      <c r="A133" s="74" t="s">
        <v>150</v>
      </c>
      <c r="B133" s="52">
        <v>4039</v>
      </c>
      <c r="C133" s="21">
        <v>8264</v>
      </c>
      <c r="D133" s="21">
        <v>25318</v>
      </c>
      <c r="E133" s="83">
        <v>46.496000000000002</v>
      </c>
    </row>
    <row r="134" spans="1:5" ht="15.75" customHeight="1" x14ac:dyDescent="0.25">
      <c r="A134" s="74" t="s">
        <v>150</v>
      </c>
      <c r="B134" s="52">
        <v>4004</v>
      </c>
      <c r="C134" s="21">
        <v>8264</v>
      </c>
      <c r="D134" s="21">
        <v>25318</v>
      </c>
      <c r="E134" s="83">
        <v>63.69</v>
      </c>
    </row>
    <row r="135" spans="1:5" ht="15.75" customHeight="1" x14ac:dyDescent="0.25">
      <c r="A135" s="74" t="s">
        <v>150</v>
      </c>
      <c r="B135" s="52">
        <v>4043</v>
      </c>
      <c r="C135" s="21">
        <v>8264</v>
      </c>
      <c r="D135" s="21">
        <v>25318</v>
      </c>
      <c r="E135" s="83">
        <v>46.496000000000002</v>
      </c>
    </row>
    <row r="136" spans="1:5" ht="15.75" customHeight="1" x14ac:dyDescent="0.25">
      <c r="A136" s="74" t="s">
        <v>150</v>
      </c>
      <c r="B136" s="52">
        <v>542</v>
      </c>
      <c r="C136" s="21">
        <v>8264</v>
      </c>
      <c r="D136" s="21">
        <v>25318</v>
      </c>
      <c r="E136" s="83">
        <v>32.78</v>
      </c>
    </row>
    <row r="137" spans="1:5" ht="15.75" customHeight="1" x14ac:dyDescent="0.25">
      <c r="A137" s="74" t="s">
        <v>150</v>
      </c>
      <c r="B137" s="52">
        <v>8010</v>
      </c>
      <c r="C137" s="21">
        <v>8264</v>
      </c>
      <c r="D137" s="21">
        <v>25318</v>
      </c>
      <c r="E137" s="83">
        <v>55.03</v>
      </c>
    </row>
    <row r="138" spans="1:5" ht="15.75" customHeight="1" x14ac:dyDescent="0.25">
      <c r="A138" s="74" t="s">
        <v>150</v>
      </c>
      <c r="B138" s="52">
        <v>838</v>
      </c>
      <c r="C138" s="21">
        <v>8264</v>
      </c>
      <c r="D138" s="21">
        <v>25318</v>
      </c>
      <c r="E138" s="83">
        <v>34.53</v>
      </c>
    </row>
    <row r="139" spans="1:5" ht="15.75" customHeight="1" x14ac:dyDescent="0.25">
      <c r="A139" s="74" t="s">
        <v>150</v>
      </c>
      <c r="B139" s="52">
        <v>4080</v>
      </c>
      <c r="C139" s="21">
        <v>8264</v>
      </c>
      <c r="D139" s="21">
        <v>25318</v>
      </c>
      <c r="E139" s="83">
        <v>36.21</v>
      </c>
    </row>
    <row r="140" spans="1:5" ht="15.75" customHeight="1" x14ac:dyDescent="0.25">
      <c r="A140" s="74" t="s">
        <v>150</v>
      </c>
      <c r="B140" s="52">
        <v>4007</v>
      </c>
      <c r="C140" s="21">
        <v>8264</v>
      </c>
      <c r="D140" s="21">
        <v>25318</v>
      </c>
      <c r="E140" s="83">
        <v>86.34</v>
      </c>
    </row>
    <row r="141" spans="1:5" ht="15.75" customHeight="1" x14ac:dyDescent="0.25">
      <c r="A141" s="74" t="s">
        <v>150</v>
      </c>
      <c r="B141" s="52">
        <v>440</v>
      </c>
      <c r="C141" s="21">
        <v>8264</v>
      </c>
      <c r="D141" s="21">
        <v>25318</v>
      </c>
      <c r="E141" s="83">
        <v>21.39</v>
      </c>
    </row>
    <row r="142" spans="1:5" ht="15.75" customHeight="1" x14ac:dyDescent="0.25">
      <c r="A142" s="74" t="s">
        <v>150</v>
      </c>
      <c r="B142" s="52">
        <v>816</v>
      </c>
      <c r="C142" s="21">
        <v>8264</v>
      </c>
      <c r="D142" s="21">
        <v>25318</v>
      </c>
      <c r="E142" s="83">
        <v>29.99</v>
      </c>
    </row>
    <row r="143" spans="1:5" ht="15.75" customHeight="1" x14ac:dyDescent="0.25">
      <c r="A143" s="74" t="s">
        <v>150</v>
      </c>
      <c r="B143" s="52">
        <v>100</v>
      </c>
      <c r="C143" s="21">
        <v>8278</v>
      </c>
      <c r="D143" s="21">
        <v>25318</v>
      </c>
      <c r="E143" s="83">
        <v>784.15</v>
      </c>
    </row>
    <row r="144" spans="1:5" ht="15.75" customHeight="1" x14ac:dyDescent="0.25">
      <c r="A144" s="74" t="s">
        <v>150</v>
      </c>
      <c r="B144" s="52">
        <v>100</v>
      </c>
      <c r="C144" s="21">
        <v>8290</v>
      </c>
      <c r="D144" s="21">
        <v>25318</v>
      </c>
      <c r="E144" s="83">
        <v>2292.08</v>
      </c>
    </row>
    <row r="145" spans="1:5" ht="15.75" customHeight="1" x14ac:dyDescent="0.25">
      <c r="A145" s="74" t="s">
        <v>150</v>
      </c>
      <c r="B145" s="52">
        <v>100</v>
      </c>
      <c r="C145" s="21">
        <v>9226</v>
      </c>
      <c r="D145" s="21">
        <v>25318</v>
      </c>
      <c r="E145" s="83">
        <v>245.67</v>
      </c>
    </row>
    <row r="146" spans="1:5" ht="15.75" hidden="1" customHeight="1" x14ac:dyDescent="0.25">
      <c r="A146" s="74" t="s">
        <v>150</v>
      </c>
      <c r="B146" s="52">
        <v>213</v>
      </c>
      <c r="C146" s="21">
        <v>12161</v>
      </c>
      <c r="D146" s="21">
        <v>25318</v>
      </c>
      <c r="E146" s="83">
        <v>464.96000000000004</v>
      </c>
    </row>
    <row r="147" spans="1:5" ht="15.75" customHeight="1" x14ac:dyDescent="0.25">
      <c r="A147" s="74" t="s">
        <v>150</v>
      </c>
      <c r="B147" s="52">
        <v>213</v>
      </c>
      <c r="C147" s="21">
        <v>12161</v>
      </c>
      <c r="D147" s="21">
        <v>25318</v>
      </c>
      <c r="E147" s="83">
        <v>232.48</v>
      </c>
    </row>
    <row r="148" spans="1:5" ht="15.75" customHeight="1" x14ac:dyDescent="0.25">
      <c r="A148" s="74" t="s">
        <v>150</v>
      </c>
      <c r="B148" s="52">
        <v>213</v>
      </c>
      <c r="C148" s="21">
        <v>12161</v>
      </c>
      <c r="D148" s="21">
        <v>25318</v>
      </c>
      <c r="E148" s="83">
        <v>116.24</v>
      </c>
    </row>
    <row r="149" spans="1:5" ht="15.75" customHeight="1" x14ac:dyDescent="0.25">
      <c r="A149" s="74" t="s">
        <v>150</v>
      </c>
      <c r="B149" s="52">
        <v>213</v>
      </c>
      <c r="C149" s="21">
        <v>12161</v>
      </c>
      <c r="D149" s="21">
        <v>25318</v>
      </c>
      <c r="E149" s="83">
        <v>116.24</v>
      </c>
    </row>
    <row r="150" spans="1:5" ht="15.75" customHeight="1" x14ac:dyDescent="0.25">
      <c r="A150" s="74" t="s">
        <v>150</v>
      </c>
      <c r="B150" s="52">
        <v>215</v>
      </c>
      <c r="C150" s="21">
        <v>12161</v>
      </c>
      <c r="D150" s="21">
        <v>25318</v>
      </c>
      <c r="E150" s="83">
        <v>191.11</v>
      </c>
    </row>
    <row r="151" spans="1:5" ht="15.75" customHeight="1" x14ac:dyDescent="0.25">
      <c r="A151" s="74" t="s">
        <v>150</v>
      </c>
      <c r="B151" s="52">
        <v>214</v>
      </c>
      <c r="C151" s="21">
        <v>12161</v>
      </c>
      <c r="D151" s="21">
        <v>25318</v>
      </c>
      <c r="E151" s="83">
        <v>219.92000000000002</v>
      </c>
    </row>
    <row r="152" spans="1:5" ht="15.75" customHeight="1" x14ac:dyDescent="0.25">
      <c r="A152" s="74" t="s">
        <v>150</v>
      </c>
      <c r="B152" s="52">
        <v>214</v>
      </c>
      <c r="C152" s="21">
        <v>12161</v>
      </c>
      <c r="D152" s="21">
        <v>25318</v>
      </c>
      <c r="E152" s="83">
        <v>381.26</v>
      </c>
    </row>
    <row r="153" spans="1:5" ht="15.75" customHeight="1" x14ac:dyDescent="0.25">
      <c r="A153" s="74" t="s">
        <v>150</v>
      </c>
      <c r="B153" s="52">
        <v>236</v>
      </c>
      <c r="C153" s="21">
        <v>12161</v>
      </c>
      <c r="D153" s="21">
        <v>25318</v>
      </c>
      <c r="E153" s="83">
        <v>33.58</v>
      </c>
    </row>
    <row r="154" spans="1:5" ht="15.75" customHeight="1" x14ac:dyDescent="0.25">
      <c r="A154" s="74" t="s">
        <v>150</v>
      </c>
      <c r="B154" s="52">
        <v>212</v>
      </c>
      <c r="C154" s="21">
        <v>12161</v>
      </c>
      <c r="D154" s="21">
        <v>25318</v>
      </c>
      <c r="E154" s="83">
        <v>71.94</v>
      </c>
    </row>
    <row r="155" spans="1:5" ht="15.75" customHeight="1" x14ac:dyDescent="0.25">
      <c r="A155" s="74" t="s">
        <v>150</v>
      </c>
      <c r="B155" s="52">
        <v>206</v>
      </c>
      <c r="C155" s="21">
        <v>12161</v>
      </c>
      <c r="D155" s="21">
        <v>25318</v>
      </c>
      <c r="E155" s="83">
        <v>108.76</v>
      </c>
    </row>
    <row r="156" spans="1:5" ht="15.75" customHeight="1" x14ac:dyDescent="0.25">
      <c r="A156" s="74" t="s">
        <v>150</v>
      </c>
      <c r="B156" s="52">
        <v>214</v>
      </c>
      <c r="C156" s="21">
        <v>12161</v>
      </c>
      <c r="D156" s="21">
        <v>25318</v>
      </c>
      <c r="E156" s="83">
        <v>301.98</v>
      </c>
    </row>
    <row r="157" spans="1:5" ht="15.75" customHeight="1" x14ac:dyDescent="0.25">
      <c r="A157" s="74" t="s">
        <v>150</v>
      </c>
      <c r="B157" s="52">
        <v>214</v>
      </c>
      <c r="C157" s="21">
        <v>12161</v>
      </c>
      <c r="D157" s="21">
        <v>25318</v>
      </c>
      <c r="E157" s="83">
        <v>301.98</v>
      </c>
    </row>
    <row r="158" spans="1:5" ht="15.75" customHeight="1" x14ac:dyDescent="0.25">
      <c r="A158" s="74" t="s">
        <v>150</v>
      </c>
      <c r="B158" s="52">
        <v>214</v>
      </c>
      <c r="C158" s="21">
        <v>12161</v>
      </c>
      <c r="D158" s="21">
        <v>25318</v>
      </c>
      <c r="E158" s="83">
        <v>172.38000000000002</v>
      </c>
    </row>
    <row r="159" spans="1:5" ht="15.75" customHeight="1" x14ac:dyDescent="0.25">
      <c r="A159" s="74" t="s">
        <v>150</v>
      </c>
      <c r="B159" s="52">
        <v>214</v>
      </c>
      <c r="C159" s="21">
        <v>12161</v>
      </c>
      <c r="D159" s="21">
        <v>25318</v>
      </c>
      <c r="E159" s="83">
        <v>300.82</v>
      </c>
    </row>
    <row r="160" spans="1:5" ht="15.75" customHeight="1" x14ac:dyDescent="0.25">
      <c r="A160" s="74" t="s">
        <v>150</v>
      </c>
      <c r="B160" s="52">
        <v>214</v>
      </c>
      <c r="C160" s="21">
        <v>12161</v>
      </c>
      <c r="D160" s="21">
        <v>25318</v>
      </c>
      <c r="E160" s="83">
        <v>273.78000000000003</v>
      </c>
    </row>
    <row r="161" spans="1:5" ht="15.75" customHeight="1" x14ac:dyDescent="0.25">
      <c r="A161" s="74" t="s">
        <v>150</v>
      </c>
      <c r="B161" s="52">
        <v>214</v>
      </c>
      <c r="C161" s="21">
        <v>12161</v>
      </c>
      <c r="D161" s="21">
        <v>25318</v>
      </c>
      <c r="E161" s="83">
        <v>217.8</v>
      </c>
    </row>
    <row r="162" spans="1:5" ht="15.75" customHeight="1" x14ac:dyDescent="0.25">
      <c r="A162" s="74" t="s">
        <v>150</v>
      </c>
      <c r="B162" s="52">
        <v>214</v>
      </c>
      <c r="C162" s="21">
        <v>12161</v>
      </c>
      <c r="D162" s="21">
        <v>25318</v>
      </c>
      <c r="E162" s="83">
        <v>382.25</v>
      </c>
    </row>
    <row r="163" spans="1:5" ht="15.75" customHeight="1" x14ac:dyDescent="0.25">
      <c r="A163" s="74" t="s">
        <v>150</v>
      </c>
      <c r="B163" s="52">
        <v>214</v>
      </c>
      <c r="C163" s="21">
        <v>12161</v>
      </c>
      <c r="D163" s="21">
        <v>25318</v>
      </c>
      <c r="E163" s="83">
        <v>429.52000000000004</v>
      </c>
    </row>
    <row r="164" spans="1:5" ht="15.75" customHeight="1" x14ac:dyDescent="0.25">
      <c r="A164" s="74" t="s">
        <v>150</v>
      </c>
      <c r="B164" s="52">
        <v>214</v>
      </c>
      <c r="C164" s="21">
        <v>12161</v>
      </c>
      <c r="D164" s="21">
        <v>25318</v>
      </c>
      <c r="E164" s="83">
        <v>379.39</v>
      </c>
    </row>
    <row r="165" spans="1:5" ht="15.75" customHeight="1" x14ac:dyDescent="0.25">
      <c r="A165" s="74" t="s">
        <v>150</v>
      </c>
      <c r="B165" s="52">
        <v>214</v>
      </c>
      <c r="C165" s="21">
        <v>12161</v>
      </c>
      <c r="D165" s="21">
        <v>25318</v>
      </c>
      <c r="E165" s="83">
        <v>382.25</v>
      </c>
    </row>
    <row r="166" spans="1:5" ht="15.75" customHeight="1" x14ac:dyDescent="0.25">
      <c r="A166" s="74" t="s">
        <v>150</v>
      </c>
      <c r="B166" s="52">
        <v>214</v>
      </c>
      <c r="C166" s="21">
        <v>12161</v>
      </c>
      <c r="D166" s="21">
        <v>25318</v>
      </c>
      <c r="E166" s="83">
        <v>382.25</v>
      </c>
    </row>
    <row r="167" spans="1:5" ht="15.75" customHeight="1" x14ac:dyDescent="0.25">
      <c r="A167" s="74" t="s">
        <v>150</v>
      </c>
      <c r="B167" s="52">
        <v>215</v>
      </c>
      <c r="C167" s="21">
        <v>12161</v>
      </c>
      <c r="D167" s="21">
        <v>25318</v>
      </c>
      <c r="E167" s="83">
        <v>236.29000000000002</v>
      </c>
    </row>
    <row r="168" spans="1:5" ht="15.75" customHeight="1" x14ac:dyDescent="0.25">
      <c r="A168" s="74" t="s">
        <v>150</v>
      </c>
      <c r="B168" s="52">
        <v>100</v>
      </c>
      <c r="C168" s="21">
        <v>12318</v>
      </c>
      <c r="D168" s="21">
        <v>25318</v>
      </c>
      <c r="E168" s="83">
        <v>29.87</v>
      </c>
    </row>
    <row r="169" spans="1:5" ht="15.75" customHeight="1" x14ac:dyDescent="0.25">
      <c r="A169" s="74" t="s">
        <v>150</v>
      </c>
      <c r="B169" s="52">
        <v>100</v>
      </c>
      <c r="C169" s="21">
        <v>12421</v>
      </c>
      <c r="D169" s="21">
        <v>25318</v>
      </c>
      <c r="E169" s="83">
        <v>269.73333333333335</v>
      </c>
    </row>
    <row r="170" spans="1:5" ht="15.75" customHeight="1" x14ac:dyDescent="0.25">
      <c r="A170" s="74" t="s">
        <v>150</v>
      </c>
      <c r="B170" s="52">
        <v>527</v>
      </c>
      <c r="C170" s="21">
        <v>12460</v>
      </c>
      <c r="D170" s="21">
        <v>25318</v>
      </c>
      <c r="E170" s="83">
        <v>190.59</v>
      </c>
    </row>
    <row r="171" spans="1:5" ht="15.75" customHeight="1" x14ac:dyDescent="0.25">
      <c r="A171" s="74" t="s">
        <v>150</v>
      </c>
      <c r="B171" s="52">
        <v>518</v>
      </c>
      <c r="C171" s="21">
        <v>12460</v>
      </c>
      <c r="D171" s="21">
        <v>25318</v>
      </c>
      <c r="E171" s="83">
        <v>85.74</v>
      </c>
    </row>
    <row r="172" spans="1:5" ht="15.75" customHeight="1" x14ac:dyDescent="0.25">
      <c r="A172" s="74" t="s">
        <v>150</v>
      </c>
      <c r="B172" s="52">
        <v>100</v>
      </c>
      <c r="C172" s="21">
        <v>13310</v>
      </c>
      <c r="D172" s="21">
        <v>25318</v>
      </c>
      <c r="E172" s="83">
        <v>30.28</v>
      </c>
    </row>
    <row r="173" spans="1:5" ht="15.75" customHeight="1" x14ac:dyDescent="0.25">
      <c r="A173" s="2"/>
      <c r="B173" s="2"/>
      <c r="C173" s="2"/>
      <c r="D173" s="2"/>
      <c r="E173" s="82">
        <f>SUM(E2:E172)</f>
        <v>41036.143333333319</v>
      </c>
    </row>
    <row r="174" spans="1:5" ht="15.75" customHeight="1" x14ac:dyDescent="0.25">
      <c r="A174" s="2"/>
      <c r="B174" s="2"/>
      <c r="C174" s="2"/>
      <c r="D174" s="2"/>
      <c r="E174" s="1"/>
    </row>
    <row r="175" spans="1:5" ht="15.75" customHeight="1" x14ac:dyDescent="0.25">
      <c r="A175" s="75" t="s">
        <v>1</v>
      </c>
      <c r="B175" s="70" t="s">
        <v>2</v>
      </c>
      <c r="C175" s="70" t="s">
        <v>3</v>
      </c>
      <c r="D175" s="70" t="s">
        <v>4</v>
      </c>
      <c r="E175" s="84" t="s">
        <v>8</v>
      </c>
    </row>
    <row r="176" spans="1:5" ht="15.75" customHeight="1" x14ac:dyDescent="0.25">
      <c r="A176" s="85" t="s">
        <v>151</v>
      </c>
      <c r="B176" s="21">
        <v>0</v>
      </c>
      <c r="C176" s="21">
        <v>7530</v>
      </c>
      <c r="D176" s="21">
        <v>25386</v>
      </c>
      <c r="E176" s="83">
        <v>1010.82</v>
      </c>
    </row>
    <row r="177" spans="1:5" ht="15.75" customHeight="1" x14ac:dyDescent="0.25">
      <c r="A177" s="85" t="s">
        <v>151</v>
      </c>
      <c r="B177" s="21">
        <v>73</v>
      </c>
      <c r="C177" s="21">
        <v>7638</v>
      </c>
      <c r="D177" s="21">
        <v>25386</v>
      </c>
      <c r="E177" s="83">
        <v>1690.15</v>
      </c>
    </row>
    <row r="178" spans="1:5" ht="15.75" customHeight="1" x14ac:dyDescent="0.25">
      <c r="A178" s="85" t="s">
        <v>151</v>
      </c>
      <c r="B178" s="21">
        <v>73</v>
      </c>
      <c r="C178" s="21">
        <v>7638</v>
      </c>
      <c r="D178" s="21">
        <v>25386</v>
      </c>
      <c r="E178" s="83">
        <v>78.39</v>
      </c>
    </row>
    <row r="179" spans="1:5" ht="15.75" customHeight="1" x14ac:dyDescent="0.25">
      <c r="A179" s="85" t="s">
        <v>151</v>
      </c>
      <c r="B179" s="21">
        <v>54</v>
      </c>
      <c r="C179" s="21">
        <v>7648</v>
      </c>
      <c r="D179" s="21">
        <v>25386</v>
      </c>
      <c r="E179" s="83">
        <v>129.88</v>
      </c>
    </row>
    <row r="180" spans="1:5" ht="15.75" customHeight="1" x14ac:dyDescent="0.25">
      <c r="A180" s="85" t="s">
        <v>151</v>
      </c>
      <c r="B180" s="21">
        <v>0</v>
      </c>
      <c r="C180" s="21">
        <v>7980</v>
      </c>
      <c r="D180" s="21">
        <v>25386</v>
      </c>
      <c r="E180" s="83">
        <v>83.05</v>
      </c>
    </row>
    <row r="181" spans="1:5" ht="15.75" customHeight="1" x14ac:dyDescent="0.25">
      <c r="A181" s="85" t="s">
        <v>151</v>
      </c>
      <c r="B181" s="21">
        <v>0</v>
      </c>
      <c r="C181" s="21">
        <v>8047</v>
      </c>
      <c r="D181" s="21">
        <v>25386</v>
      </c>
      <c r="E181" s="83">
        <v>53.15</v>
      </c>
    </row>
    <row r="182" spans="1:5" ht="15.75" customHeight="1" x14ac:dyDescent="0.25">
      <c r="A182" s="85" t="s">
        <v>151</v>
      </c>
      <c r="B182" s="21">
        <v>0</v>
      </c>
      <c r="C182" s="21">
        <v>8056</v>
      </c>
      <c r="D182" s="21">
        <v>25386</v>
      </c>
      <c r="E182" s="83">
        <v>3253.38</v>
      </c>
    </row>
    <row r="183" spans="1:5" ht="15.75" customHeight="1" x14ac:dyDescent="0.25">
      <c r="A183" s="85" t="s">
        <v>151</v>
      </c>
      <c r="B183" s="21">
        <v>94</v>
      </c>
      <c r="C183" s="21">
        <v>8088</v>
      </c>
      <c r="D183" s="21">
        <v>25386</v>
      </c>
      <c r="E183" s="83">
        <v>828.55</v>
      </c>
    </row>
    <row r="184" spans="1:5" ht="15.75" customHeight="1" x14ac:dyDescent="0.25">
      <c r="A184" s="85" t="s">
        <v>151</v>
      </c>
      <c r="B184" s="77">
        <v>94</v>
      </c>
      <c r="C184" s="77">
        <v>8088</v>
      </c>
      <c r="D184" s="21">
        <v>25386</v>
      </c>
      <c r="E184" s="83">
        <v>223.17</v>
      </c>
    </row>
    <row r="185" spans="1:5" ht="15.75" customHeight="1" x14ac:dyDescent="0.25">
      <c r="A185" s="85" t="s">
        <v>151</v>
      </c>
      <c r="B185" s="77">
        <v>94</v>
      </c>
      <c r="C185" s="77">
        <v>8088</v>
      </c>
      <c r="D185" s="21">
        <v>25386</v>
      </c>
      <c r="E185" s="83">
        <v>118.16</v>
      </c>
    </row>
    <row r="186" spans="1:5" ht="15.75" customHeight="1" x14ac:dyDescent="0.25">
      <c r="A186" s="85" t="s">
        <v>151</v>
      </c>
      <c r="B186" s="77">
        <v>15</v>
      </c>
      <c r="C186" s="77">
        <v>8144</v>
      </c>
      <c r="D186" s="21">
        <v>25386</v>
      </c>
      <c r="E186" s="83">
        <v>232.48000000000002</v>
      </c>
    </row>
    <row r="187" spans="1:5" ht="15.75" customHeight="1" x14ac:dyDescent="0.25">
      <c r="A187" s="85" t="s">
        <v>151</v>
      </c>
      <c r="B187" s="77">
        <v>22</v>
      </c>
      <c r="C187" s="77">
        <v>8144</v>
      </c>
      <c r="D187" s="21">
        <v>25386</v>
      </c>
      <c r="E187" s="83">
        <v>232.48</v>
      </c>
    </row>
    <row r="188" spans="1:5" ht="15.75" customHeight="1" x14ac:dyDescent="0.25">
      <c r="A188" s="85" t="s">
        <v>151</v>
      </c>
      <c r="B188" s="77">
        <v>6</v>
      </c>
      <c r="C188" s="77">
        <v>8144</v>
      </c>
      <c r="D188" s="21">
        <v>25386</v>
      </c>
      <c r="E188" s="83">
        <v>464.96</v>
      </c>
    </row>
    <row r="189" spans="1:5" ht="15.75" customHeight="1" x14ac:dyDescent="0.25">
      <c r="A189" s="85" t="s">
        <v>151</v>
      </c>
      <c r="B189" s="77">
        <v>7</v>
      </c>
      <c r="C189" s="77">
        <v>8144</v>
      </c>
      <c r="D189" s="21">
        <v>25386</v>
      </c>
      <c r="E189" s="83">
        <v>697.44</v>
      </c>
    </row>
    <row r="190" spans="1:5" ht="15.75" customHeight="1" x14ac:dyDescent="0.25">
      <c r="A190" s="85" t="s">
        <v>151</v>
      </c>
      <c r="B190" s="77">
        <v>22</v>
      </c>
      <c r="C190" s="77">
        <v>8144</v>
      </c>
      <c r="D190" s="21">
        <v>25386</v>
      </c>
      <c r="E190" s="83">
        <v>464.96</v>
      </c>
    </row>
    <row r="191" spans="1:5" ht="15.75" customHeight="1" x14ac:dyDescent="0.25">
      <c r="A191" s="85" t="s">
        <v>151</v>
      </c>
      <c r="B191" s="77">
        <v>19</v>
      </c>
      <c r="C191" s="77">
        <v>8144</v>
      </c>
      <c r="D191" s="21">
        <v>25386</v>
      </c>
      <c r="E191" s="83">
        <v>232.48</v>
      </c>
    </row>
    <row r="192" spans="1:5" ht="15.75" customHeight="1" x14ac:dyDescent="0.25">
      <c r="A192" s="85" t="s">
        <v>151</v>
      </c>
      <c r="B192" s="77">
        <v>9</v>
      </c>
      <c r="C192" s="77">
        <v>8144</v>
      </c>
      <c r="D192" s="21">
        <v>25386</v>
      </c>
      <c r="E192" s="83">
        <v>697.44</v>
      </c>
    </row>
    <row r="193" spans="1:5" ht="15.75" customHeight="1" x14ac:dyDescent="0.25">
      <c r="A193" s="85" t="s">
        <v>151</v>
      </c>
      <c r="B193" s="77">
        <v>24</v>
      </c>
      <c r="C193" s="77">
        <v>8144</v>
      </c>
      <c r="D193" s="21">
        <v>25386</v>
      </c>
      <c r="E193" s="83">
        <v>697.44</v>
      </c>
    </row>
    <row r="194" spans="1:5" ht="15.75" customHeight="1" x14ac:dyDescent="0.25">
      <c r="A194" s="85" t="s">
        <v>151</v>
      </c>
      <c r="B194" s="77">
        <v>7</v>
      </c>
      <c r="C194" s="77">
        <v>8144</v>
      </c>
      <c r="D194" s="21">
        <v>25386</v>
      </c>
      <c r="E194" s="83">
        <v>84.41</v>
      </c>
    </row>
    <row r="195" spans="1:5" ht="15.75" customHeight="1" x14ac:dyDescent="0.25">
      <c r="A195" s="85" t="s">
        <v>151</v>
      </c>
      <c r="B195" s="77">
        <v>6</v>
      </c>
      <c r="C195" s="77">
        <v>8144</v>
      </c>
      <c r="D195" s="21">
        <v>25386</v>
      </c>
      <c r="E195" s="83">
        <v>659.22</v>
      </c>
    </row>
    <row r="196" spans="1:5" ht="15.75" customHeight="1" x14ac:dyDescent="0.25">
      <c r="A196" s="85" t="s">
        <v>151</v>
      </c>
      <c r="B196" s="77">
        <v>4</v>
      </c>
      <c r="C196" s="77">
        <v>8144</v>
      </c>
      <c r="D196" s="21">
        <v>25386</v>
      </c>
      <c r="E196" s="83">
        <v>63.4</v>
      </c>
    </row>
    <row r="197" spans="1:5" ht="15.75" customHeight="1" x14ac:dyDescent="0.25">
      <c r="A197" s="85" t="s">
        <v>151</v>
      </c>
      <c r="B197" s="77">
        <v>27</v>
      </c>
      <c r="C197" s="77">
        <v>8144</v>
      </c>
      <c r="D197" s="21">
        <v>25386</v>
      </c>
      <c r="E197" s="83">
        <v>310.08999999999997</v>
      </c>
    </row>
    <row r="198" spans="1:5" ht="15.75" customHeight="1" x14ac:dyDescent="0.25">
      <c r="A198" s="85" t="s">
        <v>151</v>
      </c>
      <c r="B198" s="77">
        <v>23</v>
      </c>
      <c r="C198" s="77">
        <v>8144</v>
      </c>
      <c r="D198" s="21">
        <v>25386</v>
      </c>
      <c r="E198" s="83">
        <v>464.96000000000004</v>
      </c>
    </row>
    <row r="199" spans="1:5" ht="15.75" customHeight="1" x14ac:dyDescent="0.25">
      <c r="A199" s="85" t="s">
        <v>151</v>
      </c>
      <c r="B199" s="77">
        <v>15</v>
      </c>
      <c r="C199" s="77">
        <v>8144</v>
      </c>
      <c r="D199" s="21">
        <v>25386</v>
      </c>
      <c r="E199" s="83">
        <v>173.78</v>
      </c>
    </row>
    <row r="200" spans="1:5" ht="15.75" customHeight="1" x14ac:dyDescent="0.25">
      <c r="A200" s="85" t="s">
        <v>151</v>
      </c>
      <c r="B200" s="77">
        <v>15</v>
      </c>
      <c r="C200" s="77">
        <v>8144</v>
      </c>
      <c r="D200" s="21">
        <v>25386</v>
      </c>
      <c r="E200" s="83">
        <v>85.56</v>
      </c>
    </row>
    <row r="201" spans="1:5" ht="15.75" customHeight="1" x14ac:dyDescent="0.25">
      <c r="A201" s="85" t="s">
        <v>151</v>
      </c>
      <c r="B201" s="77">
        <v>15</v>
      </c>
      <c r="C201" s="77">
        <v>8144</v>
      </c>
      <c r="D201" s="21">
        <v>25386</v>
      </c>
      <c r="E201" s="83">
        <v>464.96</v>
      </c>
    </row>
    <row r="202" spans="1:5" ht="15.75" customHeight="1" x14ac:dyDescent="0.25">
      <c r="A202" s="85" t="s">
        <v>151</v>
      </c>
      <c r="B202" s="77">
        <v>14</v>
      </c>
      <c r="C202" s="77">
        <v>8144</v>
      </c>
      <c r="D202" s="21">
        <v>25386</v>
      </c>
      <c r="E202" s="83">
        <v>232.48</v>
      </c>
    </row>
    <row r="203" spans="1:5" ht="15.75" customHeight="1" x14ac:dyDescent="0.25">
      <c r="A203" s="85" t="s">
        <v>151</v>
      </c>
      <c r="B203" s="77">
        <v>23</v>
      </c>
      <c r="C203" s="77">
        <v>8144</v>
      </c>
      <c r="D203" s="21">
        <v>25386</v>
      </c>
      <c r="E203" s="83">
        <v>196.76</v>
      </c>
    </row>
    <row r="204" spans="1:5" ht="15.75" customHeight="1" x14ac:dyDescent="0.25">
      <c r="A204" s="85" t="s">
        <v>151</v>
      </c>
      <c r="B204" s="77">
        <v>0</v>
      </c>
      <c r="C204" s="77">
        <v>12066</v>
      </c>
      <c r="D204" s="21">
        <v>25386</v>
      </c>
      <c r="E204" s="83">
        <v>21.19</v>
      </c>
    </row>
    <row r="205" spans="1:5" ht="15.75" customHeight="1" x14ac:dyDescent="0.25">
      <c r="A205" s="85" t="s">
        <v>151</v>
      </c>
      <c r="B205" s="77">
        <v>62</v>
      </c>
      <c r="C205" s="77">
        <v>12295</v>
      </c>
      <c r="D205" s="21">
        <v>25386</v>
      </c>
      <c r="E205" s="83">
        <v>204.35</v>
      </c>
    </row>
    <row r="206" spans="1:5" ht="15.75" customHeight="1" x14ac:dyDescent="0.25">
      <c r="A206" s="85" t="s">
        <v>151</v>
      </c>
      <c r="B206" s="77">
        <v>0</v>
      </c>
      <c r="C206" s="77">
        <v>12421</v>
      </c>
      <c r="D206" s="21">
        <v>25386</v>
      </c>
      <c r="E206" s="83">
        <v>269.73333333333335</v>
      </c>
    </row>
    <row r="207" spans="1:5" ht="15.75" customHeight="1" x14ac:dyDescent="0.25">
      <c r="A207" s="85" t="s">
        <v>151</v>
      </c>
      <c r="B207" s="77">
        <v>81</v>
      </c>
      <c r="C207" s="77">
        <v>13166</v>
      </c>
      <c r="D207" s="21">
        <v>25386</v>
      </c>
      <c r="E207" s="83">
        <v>199.33</v>
      </c>
    </row>
    <row r="208" spans="1:5" ht="15.75" customHeight="1" x14ac:dyDescent="0.25">
      <c r="A208" s="85" t="s">
        <v>151</v>
      </c>
      <c r="B208" s="77">
        <v>63</v>
      </c>
      <c r="C208" s="77">
        <v>13166</v>
      </c>
      <c r="D208" s="21">
        <v>25386</v>
      </c>
      <c r="E208" s="83">
        <v>1162.3999999999999</v>
      </c>
    </row>
    <row r="209" spans="1:5" ht="15.75" customHeight="1" x14ac:dyDescent="0.25">
      <c r="A209" s="85" t="s">
        <v>151</v>
      </c>
      <c r="B209" s="77">
        <v>63</v>
      </c>
      <c r="C209" s="77">
        <v>13166</v>
      </c>
      <c r="D209" s="21">
        <v>25386</v>
      </c>
      <c r="E209" s="83">
        <v>710.15</v>
      </c>
    </row>
    <row r="210" spans="1:5" ht="15.75" customHeight="1" x14ac:dyDescent="0.25">
      <c r="A210" s="85" t="s">
        <v>151</v>
      </c>
      <c r="B210" s="77">
        <v>97</v>
      </c>
      <c r="C210" s="77">
        <v>13166</v>
      </c>
      <c r="D210" s="21">
        <v>25386</v>
      </c>
      <c r="E210" s="83">
        <v>153.81</v>
      </c>
    </row>
    <row r="211" spans="1:5" ht="15.75" customHeight="1" x14ac:dyDescent="0.25">
      <c r="A211" s="85" t="s">
        <v>151</v>
      </c>
      <c r="B211" s="77">
        <v>92</v>
      </c>
      <c r="C211" s="77">
        <v>13316</v>
      </c>
      <c r="D211" s="21">
        <v>25386</v>
      </c>
      <c r="E211" s="83">
        <v>1824.31</v>
      </c>
    </row>
    <row r="212" spans="1:5" ht="15.75" customHeight="1" x14ac:dyDescent="0.25">
      <c r="A212" s="2"/>
      <c r="B212" s="2"/>
      <c r="C212" s="2"/>
      <c r="D212" s="2"/>
      <c r="E212" s="82">
        <f>SUM(E176:E211)</f>
        <v>18469.273333333334</v>
      </c>
    </row>
    <row r="213" spans="1:5" ht="15.75" customHeight="1" x14ac:dyDescent="0.25">
      <c r="A213" s="2"/>
      <c r="B213" s="2"/>
      <c r="C213" s="2"/>
      <c r="D213" s="2"/>
      <c r="E213" s="14"/>
    </row>
    <row r="214" spans="1:5" ht="15.75" customHeight="1" x14ac:dyDescent="0.25">
      <c r="A214" s="75" t="s">
        <v>1</v>
      </c>
      <c r="B214" s="70" t="s">
        <v>2</v>
      </c>
      <c r="C214" s="70" t="s">
        <v>3</v>
      </c>
      <c r="D214" s="70" t="s">
        <v>4</v>
      </c>
      <c r="E214" s="84" t="s">
        <v>8</v>
      </c>
    </row>
    <row r="215" spans="1:5" ht="15.75" customHeight="1" x14ac:dyDescent="0.25">
      <c r="A215" s="87" t="s">
        <v>152</v>
      </c>
      <c r="B215" s="10">
        <v>1</v>
      </c>
      <c r="C215" s="10">
        <v>8056</v>
      </c>
      <c r="D215" s="10">
        <v>25393</v>
      </c>
      <c r="E215" s="88">
        <v>29.48</v>
      </c>
    </row>
    <row r="216" spans="1:5" ht="15.75" customHeight="1" x14ac:dyDescent="0.25">
      <c r="A216" s="87" t="s">
        <v>152</v>
      </c>
      <c r="B216" s="10">
        <v>6</v>
      </c>
      <c r="C216" s="10">
        <v>8144</v>
      </c>
      <c r="D216" s="10">
        <v>25393</v>
      </c>
      <c r="E216" s="88">
        <v>18.62</v>
      </c>
    </row>
    <row r="217" spans="1:5" ht="15.75" customHeight="1" x14ac:dyDescent="0.25">
      <c r="A217" s="89" t="s">
        <v>152</v>
      </c>
      <c r="B217" s="76">
        <v>1</v>
      </c>
      <c r="C217" s="76">
        <v>12421</v>
      </c>
      <c r="D217" s="76">
        <v>25393</v>
      </c>
      <c r="E217" s="88">
        <v>269.73333333333335</v>
      </c>
    </row>
    <row r="218" spans="1:5" ht="15.75" customHeight="1" x14ac:dyDescent="0.25">
      <c r="A218" s="23"/>
      <c r="B218" s="7"/>
      <c r="C218" s="7"/>
      <c r="D218" s="7"/>
      <c r="E218" s="94">
        <f>SUM(E215:E217)</f>
        <v>317.83333333333337</v>
      </c>
    </row>
    <row r="219" spans="1:5" ht="15.75" customHeight="1" x14ac:dyDescent="0.25">
      <c r="A219" s="23"/>
      <c r="B219" s="7"/>
      <c r="C219" s="7"/>
      <c r="D219" s="7"/>
      <c r="E219" s="24"/>
    </row>
    <row r="220" spans="1:5" ht="15.75" customHeight="1" x14ac:dyDescent="0.25">
      <c r="A220" s="75" t="s">
        <v>1</v>
      </c>
      <c r="B220" s="70" t="s">
        <v>2</v>
      </c>
      <c r="C220" s="70" t="s">
        <v>3</v>
      </c>
      <c r="D220" s="70" t="s">
        <v>4</v>
      </c>
      <c r="E220" s="84" t="s">
        <v>8</v>
      </c>
    </row>
    <row r="221" spans="1:5" ht="15.75" customHeight="1" x14ac:dyDescent="0.25">
      <c r="A221" s="85" t="s">
        <v>127</v>
      </c>
      <c r="B221" s="28" t="s">
        <v>127</v>
      </c>
      <c r="C221">
        <v>7980</v>
      </c>
      <c r="D221">
        <v>25337</v>
      </c>
      <c r="E221" s="83">
        <v>34.71</v>
      </c>
    </row>
    <row r="222" spans="1:5" ht="15.75" customHeight="1" x14ac:dyDescent="0.25">
      <c r="A222" s="85" t="s">
        <v>127</v>
      </c>
      <c r="B222" s="28" t="s">
        <v>127</v>
      </c>
      <c r="C222">
        <v>8006</v>
      </c>
      <c r="D222">
        <v>25337</v>
      </c>
      <c r="E222" s="83">
        <v>121.04</v>
      </c>
    </row>
    <row r="223" spans="1:5" ht="15.75" customHeight="1" x14ac:dyDescent="0.25">
      <c r="A223" s="85" t="s">
        <v>127</v>
      </c>
      <c r="B223" s="28" t="s">
        <v>127</v>
      </c>
      <c r="C223">
        <v>8047</v>
      </c>
      <c r="D223">
        <v>25337</v>
      </c>
      <c r="E223" s="83">
        <v>746.25</v>
      </c>
    </row>
    <row r="224" spans="1:5" ht="15.75" customHeight="1" x14ac:dyDescent="0.25">
      <c r="A224" s="85" t="s">
        <v>127</v>
      </c>
      <c r="B224" s="28" t="s">
        <v>127</v>
      </c>
      <c r="C224">
        <v>8056</v>
      </c>
      <c r="D224">
        <v>25337</v>
      </c>
      <c r="E224" s="83">
        <v>10.72</v>
      </c>
    </row>
    <row r="225" spans="1:5" ht="15.75" customHeight="1" x14ac:dyDescent="0.25">
      <c r="A225" s="85" t="s">
        <v>127</v>
      </c>
      <c r="B225" s="28" t="s">
        <v>127</v>
      </c>
      <c r="C225">
        <v>8056</v>
      </c>
      <c r="D225">
        <v>25337</v>
      </c>
      <c r="E225" s="83">
        <v>29.48</v>
      </c>
    </row>
    <row r="226" spans="1:5" ht="15.75" customHeight="1" x14ac:dyDescent="0.25">
      <c r="A226" s="85" t="s">
        <v>127</v>
      </c>
      <c r="B226" s="28" t="s">
        <v>127</v>
      </c>
      <c r="C226">
        <v>8058</v>
      </c>
      <c r="D226">
        <v>25337</v>
      </c>
      <c r="E226" s="83">
        <v>21.19</v>
      </c>
    </row>
    <row r="227" spans="1:5" ht="15.75" customHeight="1" x14ac:dyDescent="0.25">
      <c r="A227" s="85" t="s">
        <v>127</v>
      </c>
      <c r="B227" s="28" t="s">
        <v>127</v>
      </c>
      <c r="C227">
        <v>8120</v>
      </c>
      <c r="D227">
        <v>25337</v>
      </c>
      <c r="E227" s="83">
        <v>30.28</v>
      </c>
    </row>
    <row r="228" spans="1:5" ht="15.75" customHeight="1" x14ac:dyDescent="0.25">
      <c r="A228" s="85" t="s">
        <v>127</v>
      </c>
      <c r="B228" s="28" t="s">
        <v>127</v>
      </c>
      <c r="C228">
        <v>10719</v>
      </c>
      <c r="D228">
        <v>25337</v>
      </c>
      <c r="E228" s="83">
        <v>401.05</v>
      </c>
    </row>
    <row r="229" spans="1:5" ht="15.75" customHeight="1" x14ac:dyDescent="0.25">
      <c r="A229" s="86" t="s">
        <v>127</v>
      </c>
      <c r="B229" s="90" t="s">
        <v>127</v>
      </c>
      <c r="C229">
        <v>12047</v>
      </c>
      <c r="D229">
        <v>25337</v>
      </c>
      <c r="E229" s="83">
        <v>38.92</v>
      </c>
    </row>
    <row r="230" spans="1:5" ht="15.75" customHeight="1" x14ac:dyDescent="0.25">
      <c r="A230" s="86" t="s">
        <v>127</v>
      </c>
      <c r="B230" s="90" t="s">
        <v>127</v>
      </c>
      <c r="C230">
        <v>12793</v>
      </c>
      <c r="D230">
        <v>25337</v>
      </c>
      <c r="E230" s="111">
        <v>335.13</v>
      </c>
    </row>
    <row r="231" spans="1:5" ht="15.75" customHeight="1" x14ac:dyDescent="0.25">
      <c r="A231" s="3"/>
      <c r="B231" s="2"/>
      <c r="C231" s="2"/>
      <c r="D231" s="2"/>
      <c r="E231" s="115">
        <f>SUM(E221:E230)</f>
        <v>1768.77</v>
      </c>
    </row>
    <row r="232" spans="1:5" ht="15.75" customHeight="1" x14ac:dyDescent="0.25">
      <c r="A232" s="2"/>
      <c r="B232" s="2"/>
      <c r="C232" s="2"/>
      <c r="D232" s="2"/>
      <c r="E232" s="1"/>
    </row>
    <row r="233" spans="1:5" ht="15.75" customHeight="1" x14ac:dyDescent="0.25">
      <c r="A233" s="2"/>
      <c r="B233" s="2"/>
      <c r="C233" s="2"/>
      <c r="D233" s="2"/>
      <c r="E233" s="31">
        <f>SUM(E173+E212+E218+E231)</f>
        <v>61592.01999999999</v>
      </c>
    </row>
    <row r="234" spans="1:5" ht="15.75" customHeight="1" x14ac:dyDescent="0.25">
      <c r="A234" s="2"/>
      <c r="B234" s="2"/>
      <c r="C234" s="2"/>
      <c r="D234" s="2"/>
      <c r="E234" s="1"/>
    </row>
    <row r="235" spans="1:5" ht="15.75" customHeight="1" x14ac:dyDescent="0.25">
      <c r="A235" s="2"/>
      <c r="B235" s="2"/>
      <c r="C235" s="2"/>
      <c r="D235" s="2"/>
      <c r="E235" s="22"/>
    </row>
    <row r="236" spans="1:5" ht="15.75" customHeight="1" x14ac:dyDescent="0.25">
      <c r="A236" s="2"/>
      <c r="B236" s="2"/>
      <c r="C236" s="2"/>
      <c r="D236" s="2"/>
      <c r="E236" s="1"/>
    </row>
    <row r="237" spans="1:5" ht="15.75" customHeight="1" x14ac:dyDescent="0.25">
      <c r="E237" s="29"/>
    </row>
    <row r="238" spans="1:5" ht="15.75" customHeight="1" x14ac:dyDescent="0.25">
      <c r="E238" s="29"/>
    </row>
    <row r="239" spans="1:5" ht="15.75" customHeight="1" x14ac:dyDescent="0.25">
      <c r="E239" s="30"/>
    </row>
    <row r="240" spans="1:5" ht="15.75" customHeight="1" x14ac:dyDescent="0.25">
      <c r="A240" s="2"/>
      <c r="B240" s="2"/>
      <c r="C240" s="2"/>
      <c r="D240" s="2"/>
      <c r="E240" s="1"/>
    </row>
    <row r="241" spans="1:5" ht="15.75" customHeight="1" x14ac:dyDescent="0.25">
      <c r="A241" s="2"/>
      <c r="B241" s="2"/>
      <c r="C241" s="2"/>
      <c r="D241" s="2"/>
      <c r="E241" s="1"/>
    </row>
    <row r="242" spans="1:5" ht="15.75" customHeight="1" x14ac:dyDescent="0.25">
      <c r="A242" s="2"/>
      <c r="B242" s="2"/>
      <c r="C242" s="2"/>
      <c r="D242" s="2"/>
      <c r="E242" s="1"/>
    </row>
    <row r="243" spans="1:5" ht="15.75" customHeight="1" x14ac:dyDescent="0.25">
      <c r="A243" s="2"/>
      <c r="B243" s="2"/>
      <c r="C243" s="2"/>
      <c r="D243" s="2"/>
      <c r="E243" s="1"/>
    </row>
    <row r="244" spans="1:5" ht="15.75" customHeight="1" x14ac:dyDescent="0.25">
      <c r="A244" s="2"/>
      <c r="B244" s="2"/>
      <c r="C244" s="2"/>
      <c r="D244" s="2"/>
      <c r="E244" s="1"/>
    </row>
    <row r="245" spans="1:5" ht="15.75" customHeight="1" x14ac:dyDescent="0.25">
      <c r="A245" s="2"/>
      <c r="B245" s="2"/>
      <c r="C245" s="2"/>
      <c r="D245" s="2"/>
      <c r="E245" s="1"/>
    </row>
    <row r="246" spans="1:5" ht="15.75" customHeight="1" x14ac:dyDescent="0.25">
      <c r="A246" s="2"/>
      <c r="B246" s="2"/>
      <c r="C246" s="2"/>
      <c r="D246" s="2"/>
      <c r="E246" s="1"/>
    </row>
    <row r="247" spans="1:5" ht="15.75" customHeight="1" x14ac:dyDescent="0.25">
      <c r="A247" s="2"/>
      <c r="B247" s="2"/>
      <c r="C247" s="2"/>
      <c r="D247" s="2"/>
      <c r="E247" s="1"/>
    </row>
    <row r="248" spans="1:5" ht="15.75" customHeight="1" x14ac:dyDescent="0.25">
      <c r="A248" s="2"/>
      <c r="B248" s="2"/>
      <c r="C248" s="2"/>
      <c r="D248" s="2"/>
      <c r="E248" s="1"/>
    </row>
    <row r="249" spans="1:5" ht="15.75" customHeight="1" x14ac:dyDescent="0.25">
      <c r="A249" s="2"/>
      <c r="B249" s="2"/>
      <c r="C249" s="2"/>
      <c r="D249" s="2"/>
      <c r="E249" s="1"/>
    </row>
    <row r="250" spans="1:5" ht="15.75" customHeight="1" x14ac:dyDescent="0.25">
      <c r="A250" s="2"/>
      <c r="B250" s="2"/>
      <c r="C250" s="2"/>
      <c r="D250" s="2"/>
      <c r="E250" s="1"/>
    </row>
    <row r="251" spans="1:5" ht="15.75" customHeight="1" x14ac:dyDescent="0.25">
      <c r="A251" s="2"/>
      <c r="B251" s="2"/>
      <c r="C251" s="2"/>
      <c r="D251" s="2"/>
      <c r="E251" s="1"/>
    </row>
    <row r="252" spans="1:5" ht="15.75" customHeight="1" x14ac:dyDescent="0.25">
      <c r="A252" s="2"/>
      <c r="B252" s="2"/>
      <c r="C252" s="2"/>
      <c r="D252" s="2"/>
      <c r="E252" s="1"/>
    </row>
    <row r="253" spans="1:5" ht="15.75" customHeight="1" x14ac:dyDescent="0.25">
      <c r="A253" s="2"/>
      <c r="B253" s="2"/>
      <c r="C253" s="2"/>
      <c r="D253" s="2"/>
      <c r="E253" s="1"/>
    </row>
    <row r="254" spans="1:5" ht="15.75" customHeight="1" x14ac:dyDescent="0.25">
      <c r="A254" s="2"/>
      <c r="B254" s="2"/>
      <c r="C254" s="2"/>
      <c r="D254" s="2"/>
      <c r="E254" s="1"/>
    </row>
    <row r="255" spans="1:5" ht="15.75" customHeight="1" x14ac:dyDescent="0.25">
      <c r="A255" s="2"/>
      <c r="B255" s="2"/>
      <c r="C255" s="2"/>
      <c r="D255" s="2"/>
      <c r="E255" s="1"/>
    </row>
    <row r="256" spans="1:5" ht="15.75" customHeight="1" x14ac:dyDescent="0.25">
      <c r="A256" s="2"/>
      <c r="B256" s="2"/>
      <c r="C256" s="2"/>
      <c r="D256" s="2"/>
      <c r="E256" s="1"/>
    </row>
    <row r="257" spans="1:5" ht="15.75" customHeight="1" x14ac:dyDescent="0.25">
      <c r="A257" s="2"/>
      <c r="B257" s="2"/>
      <c r="C257" s="2"/>
      <c r="D257" s="2"/>
      <c r="E257" s="1"/>
    </row>
    <row r="258" spans="1:5" ht="15.75" customHeight="1" x14ac:dyDescent="0.25">
      <c r="A258" s="2"/>
      <c r="B258" s="2"/>
      <c r="C258" s="2"/>
      <c r="D258" s="2"/>
      <c r="E258" s="1"/>
    </row>
    <row r="259" spans="1:5" ht="15.75" customHeight="1" x14ac:dyDescent="0.25">
      <c r="A259" s="2"/>
      <c r="B259" s="2"/>
      <c r="C259" s="2"/>
      <c r="D259" s="2"/>
      <c r="E259" s="1"/>
    </row>
    <row r="260" spans="1:5" ht="15.75" customHeight="1" x14ac:dyDescent="0.25">
      <c r="A260" s="2"/>
      <c r="B260" s="2"/>
      <c r="C260" s="2"/>
      <c r="D260" s="2"/>
      <c r="E260" s="1"/>
    </row>
    <row r="261" spans="1:5" ht="15.75" customHeight="1" x14ac:dyDescent="0.25">
      <c r="A261" s="2"/>
      <c r="B261" s="2"/>
      <c r="C261" s="2"/>
      <c r="D261" s="2"/>
      <c r="E261" s="1"/>
    </row>
    <row r="262" spans="1:5" ht="15.75" customHeight="1" x14ac:dyDescent="0.25">
      <c r="A262" s="2"/>
      <c r="B262" s="2"/>
      <c r="C262" s="2"/>
      <c r="D262" s="2"/>
      <c r="E262" s="1"/>
    </row>
    <row r="263" spans="1:5" ht="15.75" customHeight="1" x14ac:dyDescent="0.25">
      <c r="A263" s="2"/>
      <c r="B263" s="2"/>
      <c r="C263" s="2"/>
      <c r="D263" s="2"/>
      <c r="E263" s="1"/>
    </row>
    <row r="264" spans="1:5" ht="15.75" customHeight="1" x14ac:dyDescent="0.25">
      <c r="A264" s="2"/>
      <c r="B264" s="2"/>
      <c r="C264" s="2"/>
      <c r="D264" s="2"/>
      <c r="E264" s="1"/>
    </row>
    <row r="265" spans="1:5" ht="15.75" customHeight="1" x14ac:dyDescent="0.25">
      <c r="A265" s="2"/>
      <c r="B265" s="2"/>
      <c r="C265" s="2"/>
      <c r="D265" s="2"/>
      <c r="E265" s="1"/>
    </row>
    <row r="266" spans="1:5" ht="15.75" customHeight="1" x14ac:dyDescent="0.25">
      <c r="A266" s="2"/>
      <c r="B266" s="2"/>
      <c r="C266" s="2"/>
      <c r="D266" s="2"/>
      <c r="E266" s="1"/>
    </row>
    <row r="267" spans="1:5" ht="15.75" customHeight="1" x14ac:dyDescent="0.25">
      <c r="A267" s="2"/>
      <c r="B267" s="2"/>
      <c r="C267" s="2"/>
      <c r="D267" s="2"/>
      <c r="E267" s="1"/>
    </row>
    <row r="268" spans="1:5" ht="15.75" customHeight="1" x14ac:dyDescent="0.25">
      <c r="A268" s="2"/>
      <c r="B268" s="2"/>
      <c r="C268" s="2"/>
      <c r="D268" s="2"/>
      <c r="E268" s="1"/>
    </row>
    <row r="269" spans="1:5" ht="15.75" customHeight="1" x14ac:dyDescent="0.25">
      <c r="A269" s="2"/>
      <c r="B269" s="2"/>
      <c r="C269" s="2"/>
      <c r="D269" s="2"/>
      <c r="E269" s="1"/>
    </row>
    <row r="270" spans="1:5" ht="15.75" customHeight="1" x14ac:dyDescent="0.25">
      <c r="A270" s="2"/>
      <c r="B270" s="2"/>
      <c r="C270" s="2"/>
      <c r="D270" s="2"/>
      <c r="E270" s="1"/>
    </row>
    <row r="271" spans="1:5" ht="15.75" customHeight="1" x14ac:dyDescent="0.25">
      <c r="A271" s="2"/>
      <c r="B271" s="2"/>
      <c r="C271" s="2"/>
      <c r="D271" s="2"/>
      <c r="E271" s="1"/>
    </row>
    <row r="272" spans="1:5" ht="15.75" customHeight="1" x14ac:dyDescent="0.25">
      <c r="A272" s="2"/>
      <c r="B272" s="2"/>
      <c r="C272" s="2"/>
      <c r="D272" s="2"/>
      <c r="E272" s="1"/>
    </row>
    <row r="273" spans="1:5" ht="15.75" customHeight="1" x14ac:dyDescent="0.25">
      <c r="A273" s="2"/>
      <c r="B273" s="2"/>
      <c r="C273" s="2"/>
      <c r="D273" s="2"/>
      <c r="E273" s="1"/>
    </row>
    <row r="274" spans="1:5" ht="15.75" customHeight="1" x14ac:dyDescent="0.25">
      <c r="A274" s="2"/>
      <c r="B274" s="2"/>
      <c r="C274" s="2"/>
      <c r="D274" s="2"/>
      <c r="E274" s="1"/>
    </row>
    <row r="275" spans="1:5" ht="15.75" customHeight="1" x14ac:dyDescent="0.25">
      <c r="A275" s="2"/>
      <c r="B275" s="2"/>
      <c r="C275" s="2"/>
      <c r="D275" s="2"/>
      <c r="E275" s="1"/>
    </row>
    <row r="276" spans="1:5" ht="15.75" customHeight="1" x14ac:dyDescent="0.25">
      <c r="A276" s="2"/>
      <c r="B276" s="2"/>
      <c r="C276" s="2"/>
      <c r="D276" s="2"/>
      <c r="E276" s="1"/>
    </row>
    <row r="277" spans="1:5" ht="15.75" customHeight="1" x14ac:dyDescent="0.25">
      <c r="A277" s="2"/>
      <c r="B277" s="2"/>
      <c r="C277" s="2"/>
      <c r="D277" s="2"/>
      <c r="E277" s="1"/>
    </row>
    <row r="278" spans="1:5" ht="15.75" customHeight="1" x14ac:dyDescent="0.25">
      <c r="A278" s="2"/>
      <c r="B278" s="2"/>
      <c r="C278" s="2"/>
      <c r="D278" s="2"/>
      <c r="E278" s="1"/>
    </row>
    <row r="279" spans="1:5" ht="15.75" customHeight="1" x14ac:dyDescent="0.25">
      <c r="A279" s="2"/>
      <c r="B279" s="2"/>
      <c r="C279" s="2"/>
      <c r="D279" s="2"/>
      <c r="E279" s="1"/>
    </row>
    <row r="280" spans="1:5" ht="15.75" customHeight="1" x14ac:dyDescent="0.25">
      <c r="A280" s="2"/>
      <c r="B280" s="2"/>
      <c r="C280" s="2"/>
      <c r="D280" s="2"/>
      <c r="E280" s="1"/>
    </row>
    <row r="281" spans="1:5" ht="15.75" customHeight="1" x14ac:dyDescent="0.25">
      <c r="A281" s="2"/>
      <c r="B281" s="2"/>
      <c r="C281" s="2"/>
      <c r="D281" s="2"/>
      <c r="E281" s="1"/>
    </row>
    <row r="282" spans="1:5" ht="15.75" customHeight="1" x14ac:dyDescent="0.25">
      <c r="A282" s="2"/>
      <c r="B282" s="2"/>
      <c r="C282" s="2"/>
      <c r="D282" s="2"/>
      <c r="E282" s="1"/>
    </row>
    <row r="283" spans="1:5" ht="15.75" customHeight="1" x14ac:dyDescent="0.25">
      <c r="A283" s="2"/>
      <c r="B283" s="2"/>
      <c r="C283" s="2"/>
      <c r="D283" s="2"/>
      <c r="E283" s="1"/>
    </row>
    <row r="284" spans="1:5" ht="15.75" customHeight="1" x14ac:dyDescent="0.25">
      <c r="A284" s="2"/>
      <c r="B284" s="2"/>
      <c r="C284" s="2"/>
      <c r="D284" s="2"/>
      <c r="E284" s="1"/>
    </row>
    <row r="285" spans="1:5" ht="15.75" customHeight="1" x14ac:dyDescent="0.25">
      <c r="A285" s="2"/>
      <c r="B285" s="2"/>
      <c r="C285" s="2"/>
      <c r="D285" s="2"/>
      <c r="E285" s="1"/>
    </row>
    <row r="286" spans="1:5" ht="15.75" customHeight="1" x14ac:dyDescent="0.25">
      <c r="A286" s="2"/>
      <c r="B286" s="2"/>
      <c r="C286" s="2"/>
      <c r="D286" s="2"/>
      <c r="E286" s="1"/>
    </row>
    <row r="287" spans="1:5" ht="15.75" customHeight="1" x14ac:dyDescent="0.25">
      <c r="A287" s="2"/>
      <c r="B287" s="2"/>
      <c r="C287" s="2"/>
      <c r="D287" s="2"/>
      <c r="E287" s="1"/>
    </row>
    <row r="288" spans="1:5" ht="15.75" customHeight="1" x14ac:dyDescent="0.25">
      <c r="A288" s="2"/>
      <c r="B288" s="2"/>
      <c r="C288" s="2"/>
      <c r="D288" s="2"/>
      <c r="E288" s="1"/>
    </row>
    <row r="289" spans="1:5" ht="15.75" customHeight="1" x14ac:dyDescent="0.25">
      <c r="A289" s="2"/>
      <c r="B289" s="2"/>
      <c r="C289" s="2"/>
      <c r="D289" s="2"/>
      <c r="E289" s="1"/>
    </row>
    <row r="290" spans="1:5" ht="15.75" customHeight="1" x14ac:dyDescent="0.25">
      <c r="A290" s="2"/>
      <c r="B290" s="2"/>
      <c r="C290" s="2"/>
      <c r="D290" s="2"/>
      <c r="E290" s="1"/>
    </row>
    <row r="291" spans="1:5" ht="15.75" customHeight="1" x14ac:dyDescent="0.25">
      <c r="A291" s="2"/>
      <c r="B291" s="2"/>
      <c r="C291" s="2"/>
      <c r="D291" s="2"/>
      <c r="E291" s="1"/>
    </row>
    <row r="292" spans="1:5" ht="15.75" customHeight="1" x14ac:dyDescent="0.25">
      <c r="A292" s="2"/>
      <c r="B292" s="2"/>
      <c r="C292" s="2"/>
      <c r="D292" s="2"/>
      <c r="E292" s="1"/>
    </row>
    <row r="293" spans="1:5" ht="15.75" customHeight="1" x14ac:dyDescent="0.25">
      <c r="A293" s="2"/>
      <c r="B293" s="2"/>
      <c r="C293" s="2"/>
      <c r="D293" s="2"/>
      <c r="E293" s="1"/>
    </row>
    <row r="294" spans="1:5" ht="15.75" customHeight="1" x14ac:dyDescent="0.25">
      <c r="A294" s="2"/>
      <c r="B294" s="2"/>
      <c r="C294" s="2"/>
      <c r="D294" s="2"/>
      <c r="E294" s="1"/>
    </row>
    <row r="295" spans="1:5" ht="15.75" customHeight="1" x14ac:dyDescent="0.25">
      <c r="A295" s="2"/>
      <c r="B295" s="2"/>
      <c r="C295" s="2"/>
      <c r="D295" s="2"/>
      <c r="E295" s="1"/>
    </row>
    <row r="296" spans="1:5" ht="15.75" customHeight="1" x14ac:dyDescent="0.25">
      <c r="A296" s="2"/>
      <c r="B296" s="2"/>
      <c r="C296" s="2"/>
      <c r="D296" s="2"/>
      <c r="E296" s="1"/>
    </row>
    <row r="297" spans="1:5" ht="15.75" customHeight="1" x14ac:dyDescent="0.25">
      <c r="A297" s="2"/>
      <c r="B297" s="2"/>
      <c r="C297" s="2"/>
      <c r="D297" s="2"/>
      <c r="E297" s="1"/>
    </row>
    <row r="298" spans="1:5" ht="15.75" customHeight="1" x14ac:dyDescent="0.25">
      <c r="A298" s="2"/>
      <c r="B298" s="2"/>
      <c r="C298" s="2"/>
      <c r="D298" s="2"/>
      <c r="E298" s="1"/>
    </row>
    <row r="299" spans="1:5" ht="15.75" customHeight="1" x14ac:dyDescent="0.25">
      <c r="A299" s="2"/>
      <c r="B299" s="2"/>
      <c r="C299" s="2"/>
      <c r="D299" s="2"/>
      <c r="E299" s="1"/>
    </row>
    <row r="300" spans="1:5" ht="15.75" customHeight="1" x14ac:dyDescent="0.25">
      <c r="A300" s="2"/>
      <c r="B300" s="2"/>
      <c r="C300" s="2"/>
      <c r="D300" s="2"/>
      <c r="E300" s="1"/>
    </row>
    <row r="301" spans="1:5" ht="15.75" customHeight="1" x14ac:dyDescent="0.25">
      <c r="A301" s="2"/>
      <c r="B301" s="2"/>
      <c r="C301" s="2"/>
      <c r="D301" s="2"/>
      <c r="E301" s="1"/>
    </row>
    <row r="302" spans="1:5" ht="15.75" customHeight="1" x14ac:dyDescent="0.25">
      <c r="A302" s="2"/>
      <c r="B302" s="2"/>
      <c r="C302" s="2"/>
      <c r="D302" s="2"/>
      <c r="E302" s="1"/>
    </row>
    <row r="303" spans="1:5" ht="15.75" customHeight="1" x14ac:dyDescent="0.25">
      <c r="A303" s="2"/>
      <c r="B303" s="2"/>
      <c r="C303" s="2"/>
      <c r="D303" s="2"/>
      <c r="E303" s="1"/>
    </row>
    <row r="304" spans="1:5" ht="15.75" customHeight="1" x14ac:dyDescent="0.25">
      <c r="A304" s="2"/>
      <c r="B304" s="2"/>
      <c r="C304" s="2"/>
      <c r="D304" s="2"/>
      <c r="E304" s="1"/>
    </row>
    <row r="305" spans="1:5" ht="15.75" customHeight="1" x14ac:dyDescent="0.25">
      <c r="A305" s="2"/>
      <c r="B305" s="2"/>
      <c r="C305" s="2"/>
      <c r="D305" s="2"/>
      <c r="E305" s="1"/>
    </row>
    <row r="306" spans="1:5" ht="15.75" customHeight="1" x14ac:dyDescent="0.25">
      <c r="A306" s="2"/>
      <c r="B306" s="2"/>
      <c r="C306" s="2"/>
      <c r="D306" s="2"/>
      <c r="E306" s="1"/>
    </row>
    <row r="307" spans="1:5" ht="15.75" customHeight="1" x14ac:dyDescent="0.25">
      <c r="A307" s="2"/>
      <c r="B307" s="2"/>
      <c r="C307" s="2"/>
      <c r="D307" s="2"/>
      <c r="E307" s="1"/>
    </row>
    <row r="308" spans="1:5" ht="15.75" customHeight="1" x14ac:dyDescent="0.25">
      <c r="A308" s="2"/>
      <c r="B308" s="2"/>
      <c r="C308" s="2"/>
      <c r="D308" s="2"/>
      <c r="E308" s="1"/>
    </row>
    <row r="309" spans="1:5" ht="15.75" customHeight="1" x14ac:dyDescent="0.25">
      <c r="A309" s="2"/>
      <c r="B309" s="2"/>
      <c r="C309" s="2"/>
      <c r="D309" s="2"/>
      <c r="E309" s="1"/>
    </row>
    <row r="310" spans="1:5" ht="15.75" customHeight="1" x14ac:dyDescent="0.25">
      <c r="A310" s="2"/>
      <c r="B310" s="2"/>
      <c r="C310" s="2"/>
      <c r="D310" s="2"/>
      <c r="E310" s="1"/>
    </row>
    <row r="311" spans="1:5" ht="15.75" customHeight="1" x14ac:dyDescent="0.25">
      <c r="A311" s="2"/>
      <c r="B311" s="2"/>
      <c r="C311" s="2"/>
      <c r="D311" s="2"/>
      <c r="E311" s="1"/>
    </row>
    <row r="312" spans="1:5" ht="15.75" customHeight="1" x14ac:dyDescent="0.25">
      <c r="A312" s="2"/>
      <c r="B312" s="2"/>
      <c r="C312" s="2"/>
      <c r="D312" s="2"/>
      <c r="E312" s="1"/>
    </row>
    <row r="313" spans="1:5" ht="15.75" customHeight="1" x14ac:dyDescent="0.25">
      <c r="A313" s="2"/>
      <c r="B313" s="2"/>
      <c r="C313" s="2"/>
      <c r="D313" s="2"/>
      <c r="E313" s="1"/>
    </row>
    <row r="314" spans="1:5" ht="15.75" customHeight="1" x14ac:dyDescent="0.25">
      <c r="A314" s="2"/>
      <c r="B314" s="2"/>
      <c r="C314" s="2"/>
      <c r="D314" s="2"/>
      <c r="E314" s="1"/>
    </row>
    <row r="315" spans="1:5" ht="15.75" customHeight="1" x14ac:dyDescent="0.25">
      <c r="A315" s="2"/>
      <c r="B315" s="2"/>
      <c r="C315" s="2"/>
      <c r="D315" s="2"/>
      <c r="E315" s="1"/>
    </row>
    <row r="316" spans="1:5" ht="15.75" customHeight="1" x14ac:dyDescent="0.25">
      <c r="A316" s="2"/>
      <c r="B316" s="2"/>
      <c r="C316" s="2"/>
      <c r="D316" s="2"/>
      <c r="E316" s="1"/>
    </row>
    <row r="317" spans="1:5" ht="15.75" customHeight="1" x14ac:dyDescent="0.25">
      <c r="A317" s="2"/>
      <c r="B317" s="2"/>
      <c r="C317" s="2"/>
      <c r="D317" s="2"/>
      <c r="E317" s="1"/>
    </row>
    <row r="318" spans="1:5" ht="15.75" customHeight="1" x14ac:dyDescent="0.25">
      <c r="A318" s="2"/>
      <c r="B318" s="2"/>
      <c r="C318" s="2"/>
      <c r="D318" s="2"/>
      <c r="E318" s="1"/>
    </row>
    <row r="319" spans="1:5" ht="15.75" customHeight="1" x14ac:dyDescent="0.25">
      <c r="A319" s="2"/>
      <c r="B319" s="2"/>
      <c r="C319" s="2"/>
      <c r="D319" s="2"/>
      <c r="E319" s="1"/>
    </row>
    <row r="320" spans="1:5" ht="15.75" customHeight="1" x14ac:dyDescent="0.25">
      <c r="A320" s="2"/>
      <c r="B320" s="2"/>
      <c r="C320" s="2"/>
      <c r="D320" s="2"/>
      <c r="E320" s="1"/>
    </row>
    <row r="321" spans="1:5" ht="15.75" customHeight="1" x14ac:dyDescent="0.25">
      <c r="A321" s="2"/>
      <c r="B321" s="2"/>
      <c r="C321" s="2"/>
      <c r="D321" s="2"/>
      <c r="E321" s="1"/>
    </row>
    <row r="322" spans="1:5" ht="15.75" customHeight="1" x14ac:dyDescent="0.25">
      <c r="A322" s="2"/>
      <c r="B322" s="2"/>
      <c r="C322" s="2"/>
      <c r="D322" s="2"/>
      <c r="E322" s="1"/>
    </row>
    <row r="323" spans="1:5" ht="15.75" customHeight="1" x14ac:dyDescent="0.25">
      <c r="A323" s="2"/>
      <c r="B323" s="2"/>
      <c r="C323" s="2"/>
      <c r="D323" s="2"/>
      <c r="E323" s="1"/>
    </row>
    <row r="324" spans="1:5" ht="15.75" customHeight="1" x14ac:dyDescent="0.25">
      <c r="A324" s="2"/>
      <c r="B324" s="2"/>
      <c r="C324" s="2"/>
      <c r="D324" s="2"/>
      <c r="E324" s="1"/>
    </row>
    <row r="325" spans="1:5" ht="15.75" customHeight="1" x14ac:dyDescent="0.25">
      <c r="A325" s="2"/>
      <c r="B325" s="2"/>
      <c r="C325" s="2"/>
      <c r="D325" s="2"/>
      <c r="E325" s="1"/>
    </row>
    <row r="326" spans="1:5" ht="15.75" customHeight="1" x14ac:dyDescent="0.25">
      <c r="A326" s="2"/>
      <c r="B326" s="2"/>
      <c r="C326" s="2"/>
      <c r="D326" s="2"/>
      <c r="E326" s="1"/>
    </row>
    <row r="327" spans="1:5" ht="15.75" customHeight="1" x14ac:dyDescent="0.25">
      <c r="A327" s="2"/>
      <c r="B327" s="2"/>
      <c r="C327" s="2"/>
      <c r="D327" s="2"/>
      <c r="E327" s="1"/>
    </row>
    <row r="328" spans="1:5" ht="15.75" customHeight="1" x14ac:dyDescent="0.25">
      <c r="A328" s="2"/>
      <c r="B328" s="2"/>
      <c r="C328" s="2"/>
      <c r="D328" s="2"/>
      <c r="E328" s="1"/>
    </row>
    <row r="329" spans="1:5" ht="15.75" customHeight="1" x14ac:dyDescent="0.25">
      <c r="A329" s="2"/>
      <c r="B329" s="2"/>
      <c r="C329" s="2"/>
      <c r="D329" s="2"/>
      <c r="E329" s="1"/>
    </row>
    <row r="330" spans="1:5" ht="15.75" customHeight="1" x14ac:dyDescent="0.25">
      <c r="A330" s="2"/>
      <c r="B330" s="2"/>
      <c r="C330" s="2"/>
      <c r="D330" s="2"/>
      <c r="E330" s="1"/>
    </row>
    <row r="331" spans="1:5" ht="15.75" customHeight="1" x14ac:dyDescent="0.25">
      <c r="A331" s="2"/>
      <c r="B331" s="2"/>
      <c r="C331" s="2"/>
      <c r="D331" s="2"/>
      <c r="E331" s="1"/>
    </row>
    <row r="332" spans="1:5" ht="15.75" customHeight="1" x14ac:dyDescent="0.25">
      <c r="A332" s="2"/>
      <c r="B332" s="2"/>
      <c r="C332" s="2"/>
      <c r="D332" s="2"/>
      <c r="E332" s="1"/>
    </row>
    <row r="333" spans="1:5" ht="15.75" customHeight="1" x14ac:dyDescent="0.25">
      <c r="A333" s="2"/>
      <c r="B333" s="2"/>
      <c r="C333" s="2"/>
      <c r="D333" s="2"/>
      <c r="E333" s="1"/>
    </row>
    <row r="334" spans="1:5" ht="15.75" customHeight="1" x14ac:dyDescent="0.25">
      <c r="A334" s="2"/>
      <c r="B334" s="2"/>
      <c r="C334" s="2"/>
      <c r="D334" s="2"/>
      <c r="E334" s="1"/>
    </row>
    <row r="335" spans="1:5" ht="15.75" customHeight="1" x14ac:dyDescent="0.25">
      <c r="A335" s="2"/>
      <c r="B335" s="2"/>
      <c r="C335" s="2"/>
      <c r="D335" s="2"/>
      <c r="E335" s="1"/>
    </row>
    <row r="336" spans="1:5" ht="15.75" customHeight="1" x14ac:dyDescent="0.25">
      <c r="A336" s="2"/>
      <c r="B336" s="2"/>
      <c r="C336" s="2"/>
      <c r="D336" s="2"/>
      <c r="E336" s="1"/>
    </row>
    <row r="337" spans="1:5" ht="15.75" customHeight="1" x14ac:dyDescent="0.25">
      <c r="A337" s="2"/>
      <c r="B337" s="2"/>
      <c r="C337" s="2"/>
      <c r="D337" s="2"/>
      <c r="E337" s="1"/>
    </row>
    <row r="338" spans="1:5" ht="15.75" customHeight="1" x14ac:dyDescent="0.25">
      <c r="A338" s="2"/>
      <c r="B338" s="2"/>
      <c r="C338" s="2"/>
      <c r="D338" s="2"/>
      <c r="E338" s="1"/>
    </row>
    <row r="339" spans="1:5" ht="15.75" customHeight="1" x14ac:dyDescent="0.25">
      <c r="A339" s="2"/>
      <c r="B339" s="2"/>
      <c r="C339" s="2"/>
      <c r="D339" s="2"/>
      <c r="E339" s="1"/>
    </row>
    <row r="340" spans="1:5" ht="15.75" customHeight="1" x14ac:dyDescent="0.25">
      <c r="A340" s="2"/>
      <c r="B340" s="2"/>
      <c r="C340" s="2"/>
      <c r="D340" s="2"/>
      <c r="E340" s="1"/>
    </row>
    <row r="341" spans="1:5" ht="15.75" customHeight="1" x14ac:dyDescent="0.25">
      <c r="A341" s="2"/>
      <c r="B341" s="2"/>
      <c r="C341" s="2"/>
      <c r="D341" s="2"/>
      <c r="E341" s="1"/>
    </row>
    <row r="342" spans="1:5" ht="15.75" customHeight="1" x14ac:dyDescent="0.25">
      <c r="A342" s="2"/>
      <c r="B342" s="2"/>
      <c r="C342" s="2"/>
      <c r="D342" s="2"/>
      <c r="E342" s="1"/>
    </row>
    <row r="343" spans="1:5" ht="15.75" customHeight="1" x14ac:dyDescent="0.25">
      <c r="A343" s="2"/>
      <c r="B343" s="2"/>
      <c r="C343" s="2"/>
      <c r="D343" s="2"/>
      <c r="E343" s="1"/>
    </row>
    <row r="344" spans="1:5" ht="15.75" customHeight="1" x14ac:dyDescent="0.25">
      <c r="A344" s="2"/>
      <c r="B344" s="2"/>
      <c r="C344" s="2"/>
      <c r="D344" s="2"/>
      <c r="E344" s="1"/>
    </row>
    <row r="345" spans="1:5" ht="15.75" customHeight="1" x14ac:dyDescent="0.25">
      <c r="A345" s="2"/>
      <c r="B345" s="2"/>
      <c r="C345" s="2"/>
      <c r="D345" s="2"/>
      <c r="E345" s="1"/>
    </row>
    <row r="346" spans="1:5" ht="15.75" customHeight="1" x14ac:dyDescent="0.25">
      <c r="A346" s="2"/>
      <c r="B346" s="2"/>
      <c r="C346" s="2"/>
      <c r="D346" s="2"/>
      <c r="E346" s="1"/>
    </row>
    <row r="347" spans="1:5" ht="15.75" customHeight="1" x14ac:dyDescent="0.25">
      <c r="A347" s="2"/>
      <c r="B347" s="2"/>
      <c r="C347" s="2"/>
      <c r="D347" s="2"/>
      <c r="E347" s="1"/>
    </row>
    <row r="348" spans="1:5" ht="15.75" customHeight="1" x14ac:dyDescent="0.25">
      <c r="A348" s="2"/>
      <c r="B348" s="2"/>
      <c r="C348" s="2"/>
      <c r="D348" s="2"/>
      <c r="E348" s="1"/>
    </row>
    <row r="349" spans="1:5" ht="15.75" customHeight="1" x14ac:dyDescent="0.25">
      <c r="A349" s="2"/>
      <c r="B349" s="2"/>
      <c r="C349" s="2"/>
      <c r="D349" s="2"/>
      <c r="E349" s="1"/>
    </row>
    <row r="350" spans="1:5" ht="15.75" customHeight="1" x14ac:dyDescent="0.25">
      <c r="A350" s="2"/>
      <c r="B350" s="2"/>
      <c r="C350" s="2"/>
      <c r="D350" s="2"/>
      <c r="E350" s="1"/>
    </row>
    <row r="351" spans="1:5" ht="15.75" customHeight="1" x14ac:dyDescent="0.25">
      <c r="A351" s="2"/>
      <c r="B351" s="2"/>
      <c r="C351" s="2"/>
      <c r="D351" s="2"/>
      <c r="E351" s="1"/>
    </row>
    <row r="352" spans="1:5" ht="15.75" customHeight="1" x14ac:dyDescent="0.25">
      <c r="A352" s="2"/>
      <c r="B352" s="2"/>
      <c r="C352" s="2"/>
      <c r="D352" s="2"/>
      <c r="E352" s="1"/>
    </row>
    <row r="353" spans="1:5" ht="15.75" customHeight="1" x14ac:dyDescent="0.25">
      <c r="A353" s="2"/>
      <c r="B353" s="2"/>
      <c r="C353" s="2"/>
      <c r="D353" s="2"/>
      <c r="E353" s="1"/>
    </row>
    <row r="354" spans="1:5" ht="15.75" customHeight="1" x14ac:dyDescent="0.25">
      <c r="A354" s="2"/>
      <c r="B354" s="2"/>
      <c r="C354" s="2"/>
      <c r="D354" s="2"/>
      <c r="E354" s="1"/>
    </row>
    <row r="355" spans="1:5" ht="15.75" customHeight="1" x14ac:dyDescent="0.25">
      <c r="A355" s="2"/>
      <c r="B355" s="2"/>
      <c r="C355" s="2"/>
      <c r="D355" s="2"/>
      <c r="E355" s="1"/>
    </row>
    <row r="356" spans="1:5" ht="15.75" customHeight="1" x14ac:dyDescent="0.25">
      <c r="A356" s="2"/>
      <c r="B356" s="2"/>
      <c r="C356" s="2"/>
      <c r="D356" s="2"/>
      <c r="E356" s="1"/>
    </row>
    <row r="357" spans="1:5" ht="15.75" customHeight="1" x14ac:dyDescent="0.25">
      <c r="A357" s="2"/>
      <c r="B357" s="2"/>
      <c r="C357" s="2"/>
      <c r="D357" s="2"/>
      <c r="E357" s="1"/>
    </row>
    <row r="358" spans="1:5" ht="15.75" customHeight="1" x14ac:dyDescent="0.25">
      <c r="A358" s="2"/>
      <c r="B358" s="2"/>
      <c r="C358" s="2"/>
      <c r="D358" s="2"/>
      <c r="E358" s="1"/>
    </row>
    <row r="359" spans="1:5" ht="15.75" customHeight="1" x14ac:dyDescent="0.25">
      <c r="A359" s="2"/>
      <c r="B359" s="2"/>
      <c r="C359" s="2"/>
      <c r="D359" s="2"/>
      <c r="E359" s="1"/>
    </row>
    <row r="360" spans="1:5" ht="15.75" customHeight="1" x14ac:dyDescent="0.25">
      <c r="A360" s="2"/>
      <c r="B360" s="2"/>
      <c r="C360" s="2"/>
      <c r="D360" s="2"/>
      <c r="E360" s="1"/>
    </row>
    <row r="361" spans="1:5" ht="15.75" customHeight="1" x14ac:dyDescent="0.25">
      <c r="A361" s="2"/>
      <c r="B361" s="2"/>
      <c r="C361" s="2"/>
      <c r="D361" s="2"/>
      <c r="E361" s="1"/>
    </row>
    <row r="362" spans="1:5" ht="15.75" customHeight="1" x14ac:dyDescent="0.25">
      <c r="A362" s="2"/>
      <c r="B362" s="2"/>
      <c r="C362" s="2"/>
      <c r="D362" s="2"/>
      <c r="E362" s="1"/>
    </row>
    <row r="363" spans="1:5" ht="15.75" customHeight="1" x14ac:dyDescent="0.25">
      <c r="A363" s="2"/>
      <c r="B363" s="2"/>
      <c r="C363" s="2"/>
      <c r="D363" s="2"/>
      <c r="E363" s="1"/>
    </row>
    <row r="364" spans="1:5" ht="15.75" customHeight="1" x14ac:dyDescent="0.25">
      <c r="A364" s="2"/>
      <c r="B364" s="2"/>
      <c r="C364" s="2"/>
      <c r="D364" s="2"/>
      <c r="E364" s="1"/>
    </row>
    <row r="365" spans="1:5" ht="15.75" customHeight="1" x14ac:dyDescent="0.25">
      <c r="A365" s="2"/>
      <c r="B365" s="2"/>
      <c r="C365" s="2"/>
      <c r="D365" s="2"/>
      <c r="E365" s="1"/>
    </row>
    <row r="366" spans="1:5" ht="15.75" customHeight="1" x14ac:dyDescent="0.25">
      <c r="A366" s="2"/>
      <c r="B366" s="2"/>
      <c r="C366" s="2"/>
      <c r="D366" s="2"/>
      <c r="E366" s="1"/>
    </row>
    <row r="367" spans="1:5" ht="15.75" customHeight="1" x14ac:dyDescent="0.25">
      <c r="A367" s="2"/>
      <c r="B367" s="2"/>
      <c r="C367" s="2"/>
      <c r="D367" s="2"/>
      <c r="E367" s="1"/>
    </row>
    <row r="368" spans="1:5" ht="15.75" customHeight="1" x14ac:dyDescent="0.25">
      <c r="A368" s="2"/>
      <c r="B368" s="2"/>
      <c r="C368" s="2"/>
      <c r="D368" s="2"/>
      <c r="E368" s="1"/>
    </row>
    <row r="369" spans="1:5" ht="15.75" customHeight="1" x14ac:dyDescent="0.25">
      <c r="A369" s="2"/>
      <c r="B369" s="2"/>
      <c r="C369" s="2"/>
      <c r="D369" s="2"/>
      <c r="E369" s="1"/>
    </row>
    <row r="370" spans="1:5" ht="15.75" customHeight="1" x14ac:dyDescent="0.25">
      <c r="A370" s="2"/>
      <c r="B370" s="2"/>
      <c r="C370" s="2"/>
      <c r="D370" s="2"/>
      <c r="E370" s="1"/>
    </row>
    <row r="371" spans="1:5" ht="15.75" customHeight="1" x14ac:dyDescent="0.25">
      <c r="A371" s="2"/>
      <c r="B371" s="2"/>
      <c r="C371" s="2"/>
      <c r="D371" s="2"/>
      <c r="E371" s="1"/>
    </row>
    <row r="372" spans="1:5" ht="15.75" customHeight="1" x14ac:dyDescent="0.25">
      <c r="A372" s="2"/>
      <c r="B372" s="2"/>
      <c r="C372" s="2"/>
      <c r="D372" s="2"/>
      <c r="E372" s="1"/>
    </row>
    <row r="373" spans="1:5" ht="15.75" customHeight="1" x14ac:dyDescent="0.25">
      <c r="A373" s="2"/>
      <c r="B373" s="2"/>
      <c r="C373" s="2"/>
      <c r="D373" s="2"/>
      <c r="E373" s="1"/>
    </row>
    <row r="374" spans="1:5" ht="15.75" customHeight="1" x14ac:dyDescent="0.25">
      <c r="A374" s="2"/>
      <c r="B374" s="2"/>
      <c r="C374" s="2"/>
      <c r="D374" s="2"/>
      <c r="E374" s="1"/>
    </row>
    <row r="375" spans="1:5" ht="15.75" customHeight="1" x14ac:dyDescent="0.25">
      <c r="A375" s="2"/>
      <c r="B375" s="2"/>
      <c r="C375" s="2"/>
      <c r="D375" s="2"/>
      <c r="E375" s="1"/>
    </row>
    <row r="376" spans="1:5" ht="15.75" customHeight="1" x14ac:dyDescent="0.25">
      <c r="A376" s="2"/>
      <c r="B376" s="2"/>
      <c r="C376" s="2"/>
      <c r="D376" s="2"/>
      <c r="E376" s="1"/>
    </row>
    <row r="377" spans="1:5" ht="15.75" customHeight="1" x14ac:dyDescent="0.25">
      <c r="A377" s="2"/>
      <c r="B377" s="2"/>
      <c r="C377" s="2"/>
      <c r="D377" s="2"/>
      <c r="E377" s="1"/>
    </row>
    <row r="378" spans="1:5" ht="15.75" customHeight="1" x14ac:dyDescent="0.25">
      <c r="A378" s="2"/>
      <c r="B378" s="2"/>
      <c r="C378" s="2"/>
      <c r="D378" s="2"/>
      <c r="E378" s="1"/>
    </row>
    <row r="379" spans="1:5" ht="15.75" customHeight="1" x14ac:dyDescent="0.25">
      <c r="A379" s="2"/>
      <c r="B379" s="2"/>
      <c r="C379" s="2"/>
      <c r="D379" s="2"/>
      <c r="E379" s="1"/>
    </row>
    <row r="380" spans="1:5" ht="15.75" customHeight="1" x14ac:dyDescent="0.25">
      <c r="A380" s="2"/>
      <c r="B380" s="2"/>
      <c r="C380" s="2"/>
      <c r="D380" s="2"/>
      <c r="E380" s="1"/>
    </row>
    <row r="381" spans="1:5" ht="15.75" customHeight="1" x14ac:dyDescent="0.25">
      <c r="A381" s="2"/>
      <c r="B381" s="2"/>
      <c r="C381" s="2"/>
      <c r="D381" s="2"/>
      <c r="E381" s="1"/>
    </row>
    <row r="382" spans="1:5" ht="15.75" customHeight="1" x14ac:dyDescent="0.25">
      <c r="A382" s="2"/>
      <c r="B382" s="2"/>
      <c r="C382" s="2"/>
      <c r="D382" s="2"/>
      <c r="E382" s="1"/>
    </row>
    <row r="383" spans="1:5" ht="15.75" customHeight="1" x14ac:dyDescent="0.25">
      <c r="A383" s="2"/>
      <c r="B383" s="2"/>
      <c r="C383" s="2"/>
      <c r="D383" s="2"/>
      <c r="E383" s="1"/>
    </row>
    <row r="384" spans="1:5" ht="15.75" customHeight="1" x14ac:dyDescent="0.25">
      <c r="A384" s="2"/>
      <c r="B384" s="2"/>
      <c r="C384" s="2"/>
      <c r="D384" s="2"/>
      <c r="E384" s="1"/>
    </row>
    <row r="385" spans="1:5" ht="15.75" customHeight="1" x14ac:dyDescent="0.25">
      <c r="A385" s="2"/>
      <c r="B385" s="2"/>
      <c r="C385" s="2"/>
      <c r="D385" s="2"/>
      <c r="E385" s="1"/>
    </row>
    <row r="386" spans="1:5" ht="15.75" customHeight="1" x14ac:dyDescent="0.25">
      <c r="A386" s="2"/>
      <c r="B386" s="2"/>
      <c r="C386" s="2"/>
      <c r="D386" s="2"/>
      <c r="E386" s="1"/>
    </row>
    <row r="387" spans="1:5" ht="15.75" customHeight="1" x14ac:dyDescent="0.25">
      <c r="A387" s="2"/>
      <c r="B387" s="2"/>
      <c r="C387" s="2"/>
      <c r="D387" s="2"/>
      <c r="E387" s="1"/>
    </row>
    <row r="388" spans="1:5" ht="15.75" customHeight="1" x14ac:dyDescent="0.25">
      <c r="A388" s="2"/>
      <c r="B388" s="2"/>
      <c r="C388" s="2"/>
      <c r="D388" s="2"/>
      <c r="E388" s="1"/>
    </row>
    <row r="389" spans="1:5" ht="15.75" customHeight="1" x14ac:dyDescent="0.25">
      <c r="A389" s="2"/>
      <c r="B389" s="2"/>
      <c r="C389" s="2"/>
      <c r="D389" s="2"/>
      <c r="E389" s="1"/>
    </row>
    <row r="390" spans="1:5" ht="15.75" customHeight="1" x14ac:dyDescent="0.25">
      <c r="A390" s="2"/>
      <c r="B390" s="2"/>
      <c r="C390" s="2"/>
      <c r="D390" s="2"/>
      <c r="E390" s="1"/>
    </row>
    <row r="391" spans="1:5" ht="15.75" customHeight="1" x14ac:dyDescent="0.25">
      <c r="A391" s="2"/>
      <c r="B391" s="2"/>
      <c r="C391" s="2"/>
      <c r="D391" s="2"/>
      <c r="E391" s="1"/>
    </row>
    <row r="392" spans="1:5" ht="15.75" customHeight="1" x14ac:dyDescent="0.25">
      <c r="A392" s="2"/>
      <c r="B392" s="2"/>
      <c r="C392" s="2"/>
      <c r="D392" s="2"/>
      <c r="E392" s="1"/>
    </row>
    <row r="393" spans="1:5" ht="15.75" customHeight="1" x14ac:dyDescent="0.25">
      <c r="A393" s="2"/>
      <c r="B393" s="2"/>
      <c r="C393" s="2"/>
      <c r="D393" s="2"/>
      <c r="E393" s="1"/>
    </row>
    <row r="394" spans="1:5" ht="15.75" customHeight="1" x14ac:dyDescent="0.25">
      <c r="A394" s="2"/>
      <c r="B394" s="2"/>
      <c r="C394" s="2"/>
      <c r="D394" s="2"/>
      <c r="E394" s="1"/>
    </row>
    <row r="395" spans="1:5" ht="15.75" customHeight="1" x14ac:dyDescent="0.25">
      <c r="A395" s="2"/>
      <c r="B395" s="2"/>
      <c r="C395" s="2"/>
      <c r="D395" s="2"/>
      <c r="E395" s="1"/>
    </row>
    <row r="396" spans="1:5" ht="15.75" customHeight="1" x14ac:dyDescent="0.25">
      <c r="A396" s="2"/>
      <c r="B396" s="2"/>
      <c r="C396" s="2"/>
      <c r="D396" s="2"/>
      <c r="E396" s="1"/>
    </row>
    <row r="397" spans="1:5" ht="15.75" customHeight="1" x14ac:dyDescent="0.25">
      <c r="A397" s="2"/>
      <c r="B397" s="2"/>
      <c r="C397" s="2"/>
      <c r="D397" s="2"/>
      <c r="E397" s="1"/>
    </row>
    <row r="398" spans="1:5" ht="15.75" customHeight="1" x14ac:dyDescent="0.25">
      <c r="A398" s="2"/>
      <c r="B398" s="2"/>
      <c r="C398" s="2"/>
      <c r="D398" s="2"/>
      <c r="E398" s="1"/>
    </row>
    <row r="399" spans="1:5" ht="15.75" customHeight="1" x14ac:dyDescent="0.25">
      <c r="A399" s="2"/>
      <c r="B399" s="2"/>
      <c r="C399" s="2"/>
      <c r="D399" s="2"/>
      <c r="E399" s="1"/>
    </row>
    <row r="400" spans="1:5" ht="15.75" customHeight="1" x14ac:dyDescent="0.25">
      <c r="A400" s="2"/>
      <c r="B400" s="2"/>
      <c r="C400" s="2"/>
      <c r="D400" s="2"/>
      <c r="E400" s="1"/>
    </row>
    <row r="401" spans="1:5" ht="15.75" customHeight="1" x14ac:dyDescent="0.25">
      <c r="A401" s="2"/>
      <c r="B401" s="2"/>
      <c r="C401" s="2"/>
      <c r="D401" s="2"/>
      <c r="E401" s="1"/>
    </row>
    <row r="402" spans="1:5" ht="15.75" customHeight="1" x14ac:dyDescent="0.25">
      <c r="A402" s="2"/>
      <c r="B402" s="2"/>
      <c r="C402" s="2"/>
      <c r="D402" s="2"/>
      <c r="E402" s="1"/>
    </row>
    <row r="403" spans="1:5" ht="15.75" customHeight="1" x14ac:dyDescent="0.25">
      <c r="A403" s="2"/>
      <c r="B403" s="2"/>
      <c r="C403" s="2"/>
      <c r="D403" s="2"/>
      <c r="E403" s="1"/>
    </row>
    <row r="404" spans="1:5" ht="15.75" customHeight="1" x14ac:dyDescent="0.25">
      <c r="A404" s="2"/>
      <c r="B404" s="2"/>
      <c r="C404" s="2"/>
      <c r="D404" s="2"/>
      <c r="E404" s="1"/>
    </row>
    <row r="405" spans="1:5" ht="15.75" customHeight="1" x14ac:dyDescent="0.25">
      <c r="A405" s="2"/>
      <c r="B405" s="2"/>
      <c r="C405" s="2"/>
      <c r="D405" s="2"/>
      <c r="E405" s="1"/>
    </row>
    <row r="406" spans="1:5" ht="15.75" customHeight="1" x14ac:dyDescent="0.25">
      <c r="A406" s="2"/>
      <c r="B406" s="2"/>
      <c r="C406" s="2"/>
      <c r="D406" s="2"/>
      <c r="E406" s="1"/>
    </row>
    <row r="407" spans="1:5" ht="15.75" customHeight="1" x14ac:dyDescent="0.25">
      <c r="A407" s="2"/>
      <c r="B407" s="2"/>
      <c r="C407" s="2"/>
      <c r="D407" s="2"/>
      <c r="E407" s="1"/>
    </row>
    <row r="408" spans="1:5" ht="15.75" customHeight="1" x14ac:dyDescent="0.25">
      <c r="A408" s="2"/>
      <c r="B408" s="2"/>
      <c r="C408" s="2"/>
      <c r="D408" s="2"/>
      <c r="E408" s="1"/>
    </row>
    <row r="409" spans="1:5" ht="15.75" customHeight="1" x14ac:dyDescent="0.25">
      <c r="A409" s="2"/>
      <c r="B409" s="2"/>
      <c r="C409" s="2"/>
      <c r="D409" s="2"/>
      <c r="E409" s="1"/>
    </row>
    <row r="410" spans="1:5" ht="15.75" customHeight="1" x14ac:dyDescent="0.25">
      <c r="A410" s="2"/>
      <c r="B410" s="2"/>
      <c r="C410" s="2"/>
      <c r="D410" s="2"/>
      <c r="E410" s="1"/>
    </row>
    <row r="411" spans="1:5" ht="15.75" customHeight="1" x14ac:dyDescent="0.25">
      <c r="A411" s="2"/>
      <c r="B411" s="2"/>
      <c r="C411" s="2"/>
      <c r="D411" s="2"/>
      <c r="E411" s="1"/>
    </row>
    <row r="412" spans="1:5" ht="15.75" customHeight="1" x14ac:dyDescent="0.25">
      <c r="A412" s="2"/>
      <c r="B412" s="2"/>
      <c r="C412" s="2"/>
      <c r="D412" s="2"/>
      <c r="E412" s="1"/>
    </row>
    <row r="413" spans="1:5" ht="15.75" customHeight="1" x14ac:dyDescent="0.25">
      <c r="A413" s="2"/>
      <c r="B413" s="2"/>
      <c r="C413" s="2"/>
      <c r="D413" s="2"/>
      <c r="E413" s="1"/>
    </row>
    <row r="414" spans="1:5" ht="15.75" customHeight="1" x14ac:dyDescent="0.25">
      <c r="A414" s="2"/>
      <c r="B414" s="2"/>
      <c r="C414" s="2"/>
      <c r="D414" s="2"/>
      <c r="E414" s="1"/>
    </row>
    <row r="415" spans="1:5" ht="15.75" customHeight="1" x14ac:dyDescent="0.25">
      <c r="A415" s="2"/>
      <c r="B415" s="2"/>
      <c r="C415" s="2"/>
      <c r="D415" s="2"/>
      <c r="E415" s="1"/>
    </row>
    <row r="416" spans="1:5" ht="15.75" customHeight="1" x14ac:dyDescent="0.25">
      <c r="A416" s="2"/>
      <c r="B416" s="2"/>
      <c r="C416" s="2"/>
      <c r="D416" s="2"/>
      <c r="E416" s="1"/>
    </row>
    <row r="417" spans="1:5" ht="15.75" customHeight="1" x14ac:dyDescent="0.25">
      <c r="A417" s="2"/>
      <c r="B417" s="2"/>
      <c r="C417" s="2"/>
      <c r="D417" s="2"/>
      <c r="E417" s="1"/>
    </row>
    <row r="418" spans="1:5" ht="15.75" customHeight="1" x14ac:dyDescent="0.25">
      <c r="A418" s="2"/>
      <c r="B418" s="2"/>
      <c r="C418" s="2"/>
      <c r="D418" s="2"/>
      <c r="E418" s="1"/>
    </row>
    <row r="419" spans="1:5" ht="15.75" customHeight="1" x14ac:dyDescent="0.25">
      <c r="A419" s="2"/>
      <c r="B419" s="2"/>
      <c r="C419" s="2"/>
      <c r="D419" s="2"/>
      <c r="E419" s="1"/>
    </row>
    <row r="420" spans="1:5" ht="15.75" customHeight="1" x14ac:dyDescent="0.25">
      <c r="A420" s="2"/>
      <c r="B420" s="2"/>
      <c r="C420" s="2"/>
      <c r="D420" s="2"/>
      <c r="E420" s="1"/>
    </row>
    <row r="421" spans="1:5" ht="15.75" customHeight="1" x14ac:dyDescent="0.25">
      <c r="A421" s="2"/>
      <c r="B421" s="2"/>
      <c r="C421" s="2"/>
      <c r="D421" s="2"/>
      <c r="E421" s="1"/>
    </row>
    <row r="422" spans="1:5" ht="15.75" customHeight="1" x14ac:dyDescent="0.25">
      <c r="A422" s="2"/>
      <c r="B422" s="2"/>
      <c r="C422" s="2"/>
      <c r="D422" s="2"/>
      <c r="E422" s="1"/>
    </row>
    <row r="423" spans="1:5" ht="15.75" customHeight="1" x14ac:dyDescent="0.25">
      <c r="A423" s="2"/>
      <c r="B423" s="2"/>
      <c r="C423" s="2"/>
      <c r="D423" s="2"/>
      <c r="E423" s="1"/>
    </row>
    <row r="424" spans="1:5" ht="15.75" customHeight="1" x14ac:dyDescent="0.25">
      <c r="A424" s="2"/>
      <c r="B424" s="2"/>
      <c r="C424" s="2"/>
      <c r="D424" s="2"/>
      <c r="E424" s="1"/>
    </row>
    <row r="425" spans="1:5" ht="15.75" customHeight="1" x14ac:dyDescent="0.25">
      <c r="A425" s="2"/>
      <c r="B425" s="2"/>
      <c r="C425" s="2"/>
      <c r="D425" s="2"/>
      <c r="E425" s="1"/>
    </row>
    <row r="426" spans="1:5" ht="15.75" customHeight="1" x14ac:dyDescent="0.25">
      <c r="A426" s="2"/>
      <c r="B426" s="2"/>
      <c r="C426" s="2"/>
      <c r="D426" s="2"/>
      <c r="E426" s="1"/>
    </row>
    <row r="427" spans="1:5" ht="15.75" customHeight="1" x14ac:dyDescent="0.25">
      <c r="A427" s="2"/>
      <c r="B427" s="2"/>
      <c r="C427" s="2"/>
      <c r="D427" s="2"/>
      <c r="E427" s="1"/>
    </row>
    <row r="428" spans="1:5" ht="15.75" customHeight="1" x14ac:dyDescent="0.25">
      <c r="A428" s="2"/>
      <c r="B428" s="2"/>
      <c r="C428" s="2"/>
      <c r="D428" s="2"/>
      <c r="E428" s="1"/>
    </row>
    <row r="429" spans="1:5" ht="15.75" customHeight="1" x14ac:dyDescent="0.25">
      <c r="A429" s="2"/>
      <c r="B429" s="2"/>
      <c r="C429" s="2"/>
      <c r="D429" s="2"/>
      <c r="E429" s="1"/>
    </row>
    <row r="430" spans="1:5" ht="15.75" customHeight="1" x14ac:dyDescent="0.25">
      <c r="A430" s="2"/>
      <c r="B430" s="2"/>
      <c r="C430" s="2"/>
      <c r="D430" s="2"/>
      <c r="E430" s="1"/>
    </row>
    <row r="431" spans="1:5" ht="15.75" customHeight="1" x14ac:dyDescent="0.25">
      <c r="A431" s="2"/>
      <c r="B431" s="2"/>
      <c r="C431" s="2"/>
      <c r="D431" s="2"/>
      <c r="E431" s="1"/>
    </row>
    <row r="432" spans="1:5" ht="15.75" customHeight="1" x14ac:dyDescent="0.25">
      <c r="A432" s="2"/>
      <c r="B432" s="2"/>
      <c r="C432" s="2"/>
      <c r="D432" s="2"/>
      <c r="E432" s="1"/>
    </row>
    <row r="433" spans="1:5" ht="15.75" customHeight="1" x14ac:dyDescent="0.25">
      <c r="A433" s="2"/>
      <c r="B433" s="2"/>
      <c r="C433" s="2"/>
      <c r="D433" s="2"/>
      <c r="E433" s="1"/>
    </row>
    <row r="434" spans="1:5" ht="15.75" customHeight="1" x14ac:dyDescent="0.25">
      <c r="A434" s="2"/>
      <c r="B434" s="2"/>
      <c r="C434" s="2"/>
      <c r="D434" s="2"/>
      <c r="E434" s="1"/>
    </row>
    <row r="435" spans="1:5" ht="15.75" customHeight="1" x14ac:dyDescent="0.25">
      <c r="A435" s="2"/>
      <c r="B435" s="2"/>
      <c r="C435" s="2"/>
      <c r="D435" s="2"/>
      <c r="E435" s="1"/>
    </row>
    <row r="436" spans="1:5" ht="15.75" customHeight="1" x14ac:dyDescent="0.25">
      <c r="A436" s="2"/>
      <c r="B436" s="2"/>
      <c r="C436" s="2"/>
      <c r="D436" s="2"/>
      <c r="E436" s="1"/>
    </row>
    <row r="437" spans="1:5" ht="15.75" customHeight="1" x14ac:dyDescent="0.25">
      <c r="A437" s="2"/>
      <c r="B437" s="2"/>
      <c r="C437" s="2"/>
      <c r="D437" s="2"/>
      <c r="E437" s="1"/>
    </row>
    <row r="438" spans="1:5" ht="15.75" customHeight="1" x14ac:dyDescent="0.25">
      <c r="A438" s="2"/>
      <c r="B438" s="2"/>
      <c r="C438" s="2"/>
      <c r="D438" s="2"/>
      <c r="E438" s="1"/>
    </row>
    <row r="439" spans="1:5" ht="15.75" customHeight="1" x14ac:dyDescent="0.25">
      <c r="A439" s="2"/>
      <c r="B439" s="2"/>
      <c r="C439" s="2"/>
      <c r="D439" s="2"/>
      <c r="E439" s="1"/>
    </row>
    <row r="440" spans="1:5" ht="15.75" customHeight="1" x14ac:dyDescent="0.25">
      <c r="A440" s="2"/>
      <c r="B440" s="2"/>
      <c r="C440" s="2"/>
      <c r="D440" s="2"/>
      <c r="E440" s="1"/>
    </row>
    <row r="441" spans="1:5" ht="15.75" customHeight="1" x14ac:dyDescent="0.25">
      <c r="A441" s="2"/>
      <c r="B441" s="2"/>
      <c r="C441" s="2"/>
      <c r="D441" s="2"/>
      <c r="E441" s="1"/>
    </row>
    <row r="442" spans="1:5" ht="15.75" customHeight="1" x14ac:dyDescent="0.25">
      <c r="A442" s="2"/>
      <c r="B442" s="2"/>
      <c r="C442" s="2"/>
      <c r="D442" s="2"/>
      <c r="E442" s="1"/>
    </row>
    <row r="443" spans="1:5" ht="15.75" customHeight="1" x14ac:dyDescent="0.25">
      <c r="A443" s="2"/>
      <c r="B443" s="2"/>
      <c r="C443" s="2"/>
      <c r="D443" s="2"/>
      <c r="E443" s="1"/>
    </row>
    <row r="444" spans="1:5" ht="15.75" customHeight="1" x14ac:dyDescent="0.25">
      <c r="A444" s="2"/>
      <c r="B444" s="2"/>
      <c r="C444" s="2"/>
      <c r="D444" s="2"/>
      <c r="E444" s="1"/>
    </row>
    <row r="445" spans="1:5" ht="15.75" customHeight="1" x14ac:dyDescent="0.25">
      <c r="A445" s="2"/>
      <c r="B445" s="2"/>
      <c r="C445" s="2"/>
      <c r="D445" s="2"/>
      <c r="E445" s="1"/>
    </row>
    <row r="446" spans="1:5" ht="15.75" customHeight="1" x14ac:dyDescent="0.25">
      <c r="A446" s="2"/>
      <c r="B446" s="2"/>
      <c r="C446" s="2"/>
      <c r="D446" s="2"/>
      <c r="E446" s="1"/>
    </row>
    <row r="447" spans="1:5" ht="15.75" customHeight="1" x14ac:dyDescent="0.25">
      <c r="A447" s="2"/>
      <c r="B447" s="2"/>
      <c r="C447" s="2"/>
      <c r="D447" s="2"/>
      <c r="E447" s="1"/>
    </row>
    <row r="448" spans="1:5" ht="15.75" customHeight="1" x14ac:dyDescent="0.25">
      <c r="A448" s="2"/>
      <c r="B448" s="2"/>
      <c r="C448" s="2"/>
      <c r="D448" s="2"/>
      <c r="E448" s="1"/>
    </row>
    <row r="449" spans="1:5" ht="15.75" customHeight="1" x14ac:dyDescent="0.25">
      <c r="A449" s="2"/>
      <c r="B449" s="2"/>
      <c r="C449" s="2"/>
      <c r="D449" s="2"/>
      <c r="E449" s="1"/>
    </row>
    <row r="450" spans="1:5" ht="15.75" customHeight="1" x14ac:dyDescent="0.25">
      <c r="A450" s="2"/>
      <c r="B450" s="2"/>
      <c r="C450" s="2"/>
      <c r="D450" s="2"/>
      <c r="E450" s="1"/>
    </row>
    <row r="451" spans="1:5" ht="15.75" customHeight="1" x14ac:dyDescent="0.25">
      <c r="A451" s="2"/>
      <c r="B451" s="2"/>
      <c r="C451" s="2"/>
      <c r="D451" s="2"/>
      <c r="E451" s="1"/>
    </row>
    <row r="452" spans="1:5" ht="15.75" customHeight="1" x14ac:dyDescent="0.25">
      <c r="A452" s="2"/>
      <c r="B452" s="2"/>
      <c r="C452" s="2"/>
      <c r="D452" s="2"/>
      <c r="E452" s="1"/>
    </row>
    <row r="453" spans="1:5" ht="15.75" customHeight="1" x14ac:dyDescent="0.25">
      <c r="A453" s="2"/>
      <c r="B453" s="2"/>
      <c r="C453" s="2"/>
      <c r="D453" s="2"/>
      <c r="E453" s="1"/>
    </row>
    <row r="454" spans="1:5" ht="15.75" customHeight="1" x14ac:dyDescent="0.25">
      <c r="A454" s="2"/>
      <c r="B454" s="2"/>
      <c r="C454" s="2"/>
      <c r="D454" s="2"/>
      <c r="E454" s="1"/>
    </row>
    <row r="455" spans="1:5" ht="15.75" customHeight="1" x14ac:dyDescent="0.25">
      <c r="A455" s="2"/>
      <c r="B455" s="2"/>
      <c r="C455" s="2"/>
      <c r="D455" s="2"/>
      <c r="E455" s="1"/>
    </row>
    <row r="456" spans="1:5" ht="15.75" customHeight="1" x14ac:dyDescent="0.25">
      <c r="A456" s="2"/>
      <c r="B456" s="2"/>
      <c r="C456" s="2"/>
      <c r="D456" s="2"/>
      <c r="E456" s="1"/>
    </row>
    <row r="457" spans="1:5" ht="15.75" customHeight="1" x14ac:dyDescent="0.25">
      <c r="A457" s="2"/>
      <c r="B457" s="2"/>
      <c r="C457" s="2"/>
      <c r="D457" s="2"/>
      <c r="E457" s="1"/>
    </row>
    <row r="458" spans="1:5" ht="15.75" customHeight="1" x14ac:dyDescent="0.25">
      <c r="A458" s="2"/>
      <c r="B458" s="2"/>
      <c r="C458" s="2"/>
      <c r="D458" s="2"/>
      <c r="E458" s="1"/>
    </row>
    <row r="459" spans="1:5" ht="15.75" customHeight="1" x14ac:dyDescent="0.25">
      <c r="A459" s="2"/>
      <c r="B459" s="2"/>
      <c r="C459" s="2"/>
      <c r="D459" s="2"/>
      <c r="E459" s="1"/>
    </row>
    <row r="460" spans="1:5" ht="15.75" customHeight="1" x14ac:dyDescent="0.25">
      <c r="A460" s="2"/>
      <c r="B460" s="2"/>
      <c r="C460" s="2"/>
      <c r="D460" s="2"/>
      <c r="E460" s="1"/>
    </row>
    <row r="461" spans="1:5" ht="15.75" customHeight="1" x14ac:dyDescent="0.25">
      <c r="A461" s="2"/>
      <c r="B461" s="2"/>
      <c r="C461" s="2"/>
      <c r="D461" s="2"/>
      <c r="E461" s="1"/>
    </row>
    <row r="462" spans="1:5" ht="15.75" customHeight="1" x14ac:dyDescent="0.25">
      <c r="A462" s="2"/>
      <c r="B462" s="2"/>
      <c r="C462" s="2"/>
      <c r="D462" s="2"/>
      <c r="E462" s="1"/>
    </row>
    <row r="463" spans="1:5" ht="15.75" customHeight="1" x14ac:dyDescent="0.25">
      <c r="A463" s="2"/>
      <c r="B463" s="2"/>
      <c r="C463" s="2"/>
      <c r="D463" s="2"/>
      <c r="E463" s="1"/>
    </row>
    <row r="464" spans="1:5" ht="15.75" customHeight="1" x14ac:dyDescent="0.25">
      <c r="A464" s="2"/>
      <c r="B464" s="2"/>
      <c r="C464" s="2"/>
      <c r="D464" s="2"/>
      <c r="E464" s="1"/>
    </row>
    <row r="465" spans="1:5" ht="15.75" customHeight="1" x14ac:dyDescent="0.25">
      <c r="A465" s="2"/>
      <c r="B465" s="2"/>
      <c r="C465" s="2"/>
      <c r="D465" s="2"/>
      <c r="E465" s="1"/>
    </row>
    <row r="466" spans="1:5" ht="15.75" customHeight="1" x14ac:dyDescent="0.25">
      <c r="A466" s="2"/>
      <c r="B466" s="2"/>
      <c r="C466" s="2"/>
      <c r="D466" s="2"/>
      <c r="E466" s="1"/>
    </row>
    <row r="467" spans="1:5" ht="15.75" customHeight="1" x14ac:dyDescent="0.25">
      <c r="A467" s="2"/>
      <c r="B467" s="2"/>
      <c r="C467" s="2"/>
      <c r="D467" s="2"/>
      <c r="E467" s="1"/>
    </row>
    <row r="468" spans="1:5" ht="15.75" customHeight="1" x14ac:dyDescent="0.25">
      <c r="A468" s="2"/>
      <c r="B468" s="2"/>
      <c r="C468" s="2"/>
      <c r="D468" s="2"/>
      <c r="E468" s="1"/>
    </row>
    <row r="469" spans="1:5" ht="15.75" customHeight="1" x14ac:dyDescent="0.25">
      <c r="A469" s="2"/>
      <c r="B469" s="2"/>
      <c r="C469" s="2"/>
      <c r="D469" s="2"/>
      <c r="E469" s="1"/>
    </row>
    <row r="470" spans="1:5" ht="15.75" customHeight="1" x14ac:dyDescent="0.25">
      <c r="A470" s="2"/>
      <c r="B470" s="2"/>
      <c r="C470" s="2"/>
      <c r="D470" s="2"/>
      <c r="E470" s="1"/>
    </row>
    <row r="471" spans="1:5" ht="15.75" customHeight="1" x14ac:dyDescent="0.25">
      <c r="A471" s="2"/>
      <c r="B471" s="2"/>
      <c r="C471" s="2"/>
      <c r="D471" s="2"/>
      <c r="E471" s="1"/>
    </row>
    <row r="472" spans="1:5" ht="15.75" customHeight="1" x14ac:dyDescent="0.25">
      <c r="A472" s="2"/>
      <c r="B472" s="2"/>
      <c r="C472" s="2"/>
      <c r="D472" s="2"/>
      <c r="E472" s="1"/>
    </row>
    <row r="473" spans="1:5" ht="15.75" customHeight="1" x14ac:dyDescent="0.25">
      <c r="A473" s="2"/>
      <c r="B473" s="2"/>
      <c r="C473" s="2"/>
      <c r="D473" s="2"/>
      <c r="E473" s="1"/>
    </row>
    <row r="474" spans="1:5" ht="15.75" customHeight="1" x14ac:dyDescent="0.25">
      <c r="A474" s="2"/>
      <c r="B474" s="2"/>
      <c r="C474" s="2"/>
      <c r="D474" s="2"/>
      <c r="E474" s="1"/>
    </row>
    <row r="475" spans="1:5" ht="15.75" customHeight="1" x14ac:dyDescent="0.25">
      <c r="A475" s="2"/>
      <c r="B475" s="2"/>
      <c r="C475" s="2"/>
      <c r="D475" s="2"/>
      <c r="E475" s="1"/>
    </row>
    <row r="476" spans="1:5" ht="15.75" customHeight="1" x14ac:dyDescent="0.25">
      <c r="A476" s="2"/>
      <c r="B476" s="2"/>
      <c r="C476" s="2"/>
      <c r="D476" s="2"/>
      <c r="E476" s="1"/>
    </row>
    <row r="477" spans="1:5" ht="15.75" customHeight="1" x14ac:dyDescent="0.25">
      <c r="A477" s="2"/>
      <c r="B477" s="2"/>
      <c r="C477" s="2"/>
      <c r="D477" s="2"/>
      <c r="E477" s="1"/>
    </row>
    <row r="478" spans="1:5" ht="15.75" customHeight="1" x14ac:dyDescent="0.25">
      <c r="A478" s="2"/>
      <c r="B478" s="2"/>
      <c r="C478" s="2"/>
      <c r="D478" s="2"/>
      <c r="E478" s="1"/>
    </row>
    <row r="479" spans="1:5" ht="15.75" customHeight="1" x14ac:dyDescent="0.25">
      <c r="A479" s="2"/>
      <c r="B479" s="2"/>
      <c r="C479" s="2"/>
      <c r="D479" s="2"/>
      <c r="E479" s="1"/>
    </row>
    <row r="480" spans="1:5" ht="15.75" customHeight="1" x14ac:dyDescent="0.25">
      <c r="A480" s="2"/>
      <c r="B480" s="2"/>
      <c r="C480" s="2"/>
      <c r="D480" s="2"/>
      <c r="E480" s="1"/>
    </row>
    <row r="481" spans="1:5" ht="15.75" customHeight="1" x14ac:dyDescent="0.25">
      <c r="A481" s="2"/>
      <c r="B481" s="2"/>
      <c r="C481" s="2"/>
      <c r="D481" s="2"/>
      <c r="E481" s="1"/>
    </row>
    <row r="482" spans="1:5" ht="15.75" customHeight="1" x14ac:dyDescent="0.25">
      <c r="A482" s="2"/>
      <c r="B482" s="2"/>
      <c r="C482" s="2"/>
      <c r="D482" s="2"/>
      <c r="E482" s="1"/>
    </row>
    <row r="483" spans="1:5" ht="15.75" customHeight="1" x14ac:dyDescent="0.25">
      <c r="A483" s="2"/>
      <c r="B483" s="2"/>
      <c r="C483" s="2"/>
      <c r="D483" s="2"/>
      <c r="E483" s="1"/>
    </row>
    <row r="484" spans="1:5" ht="15.75" customHeight="1" x14ac:dyDescent="0.25">
      <c r="A484" s="2"/>
      <c r="B484" s="2"/>
      <c r="C484" s="2"/>
      <c r="D484" s="2"/>
      <c r="E484" s="1"/>
    </row>
    <row r="485" spans="1:5" ht="15.75" customHeight="1" x14ac:dyDescent="0.25">
      <c r="A485" s="2"/>
      <c r="B485" s="2"/>
      <c r="C485" s="2"/>
      <c r="D485" s="2"/>
      <c r="E485" s="1"/>
    </row>
    <row r="486" spans="1:5" ht="15.75" customHeight="1" x14ac:dyDescent="0.25">
      <c r="A486" s="2"/>
      <c r="B486" s="2"/>
      <c r="C486" s="2"/>
      <c r="D486" s="2"/>
      <c r="E486" s="1"/>
    </row>
    <row r="487" spans="1:5" ht="15.75" customHeight="1" x14ac:dyDescent="0.25">
      <c r="A487" s="2"/>
      <c r="B487" s="2"/>
      <c r="C487" s="2"/>
      <c r="D487" s="2"/>
      <c r="E487" s="1"/>
    </row>
    <row r="488" spans="1:5" ht="15.75" customHeight="1" x14ac:dyDescent="0.25">
      <c r="A488" s="2"/>
      <c r="B488" s="2"/>
      <c r="C488" s="2"/>
      <c r="D488" s="2"/>
      <c r="E488" s="1"/>
    </row>
    <row r="489" spans="1:5" ht="15.75" customHeight="1" x14ac:dyDescent="0.25">
      <c r="A489" s="2"/>
      <c r="B489" s="2"/>
      <c r="C489" s="2"/>
      <c r="D489" s="2"/>
      <c r="E489" s="1"/>
    </row>
    <row r="490" spans="1:5" ht="15.75" customHeight="1" x14ac:dyDescent="0.25">
      <c r="A490" s="2"/>
      <c r="B490" s="2"/>
      <c r="C490" s="2"/>
      <c r="D490" s="2"/>
      <c r="E490" s="1"/>
    </row>
    <row r="491" spans="1:5" ht="15.75" customHeight="1" x14ac:dyDescent="0.25">
      <c r="A491" s="2"/>
      <c r="B491" s="2"/>
      <c r="C491" s="2"/>
      <c r="D491" s="2"/>
      <c r="E491" s="1"/>
    </row>
    <row r="492" spans="1:5" ht="15.75" customHeight="1" x14ac:dyDescent="0.25">
      <c r="A492" s="2"/>
      <c r="B492" s="2"/>
      <c r="C492" s="2"/>
      <c r="D492" s="2"/>
      <c r="E492" s="1"/>
    </row>
    <row r="493" spans="1:5" ht="15.75" customHeight="1" x14ac:dyDescent="0.25">
      <c r="A493" s="2"/>
      <c r="B493" s="2"/>
      <c r="C493" s="2"/>
      <c r="D493" s="2"/>
      <c r="E493" s="1"/>
    </row>
    <row r="494" spans="1:5" ht="15.75" customHeight="1" x14ac:dyDescent="0.25">
      <c r="A494" s="2"/>
      <c r="B494" s="2"/>
      <c r="C494" s="2"/>
      <c r="D494" s="2"/>
      <c r="E494" s="1"/>
    </row>
    <row r="495" spans="1:5" ht="15.75" customHeight="1" x14ac:dyDescent="0.25">
      <c r="A495" s="2"/>
      <c r="B495" s="2"/>
      <c r="C495" s="2"/>
      <c r="D495" s="2"/>
      <c r="E495" s="1"/>
    </row>
    <row r="496" spans="1:5" ht="15.75" customHeight="1" x14ac:dyDescent="0.25">
      <c r="A496" s="2"/>
      <c r="B496" s="2"/>
      <c r="C496" s="2"/>
      <c r="D496" s="2"/>
      <c r="E496" s="1"/>
    </row>
    <row r="497" spans="1:5" ht="15.75" customHeight="1" x14ac:dyDescent="0.25">
      <c r="A497" s="2"/>
      <c r="B497" s="2"/>
      <c r="C497" s="2"/>
      <c r="D497" s="2"/>
      <c r="E497" s="1"/>
    </row>
    <row r="498" spans="1:5" ht="15.75" customHeight="1" x14ac:dyDescent="0.25">
      <c r="A498" s="2"/>
      <c r="B498" s="2"/>
      <c r="C498" s="2"/>
      <c r="D498" s="2"/>
      <c r="E498" s="1"/>
    </row>
    <row r="499" spans="1:5" ht="15.75" customHeight="1" x14ac:dyDescent="0.25">
      <c r="A499" s="2"/>
      <c r="B499" s="2"/>
      <c r="C499" s="2"/>
      <c r="D499" s="2"/>
      <c r="E499" s="1"/>
    </row>
    <row r="500" spans="1:5" ht="15.75" customHeight="1" x14ac:dyDescent="0.25">
      <c r="A500" s="2"/>
      <c r="B500" s="2"/>
      <c r="C500" s="2"/>
      <c r="D500" s="2"/>
      <c r="E500" s="1"/>
    </row>
    <row r="501" spans="1:5" ht="15.75" customHeight="1" x14ac:dyDescent="0.25">
      <c r="A501" s="2"/>
      <c r="B501" s="2"/>
      <c r="C501" s="2"/>
      <c r="D501" s="2"/>
      <c r="E501" s="1"/>
    </row>
    <row r="502" spans="1:5" ht="15.75" customHeight="1" x14ac:dyDescent="0.25">
      <c r="A502" s="2"/>
      <c r="B502" s="2"/>
      <c r="C502" s="2"/>
      <c r="D502" s="2"/>
      <c r="E502" s="1"/>
    </row>
    <row r="503" spans="1:5" ht="15.75" customHeight="1" x14ac:dyDescent="0.25">
      <c r="A503" s="2"/>
      <c r="B503" s="2"/>
      <c r="C503" s="2"/>
      <c r="D503" s="2"/>
      <c r="E503" s="1"/>
    </row>
    <row r="504" spans="1:5" ht="15.75" customHeight="1" x14ac:dyDescent="0.25">
      <c r="A504" s="2"/>
      <c r="B504" s="2"/>
      <c r="C504" s="2"/>
      <c r="D504" s="2"/>
      <c r="E504" s="1"/>
    </row>
    <row r="505" spans="1:5" ht="15.75" customHeight="1" x14ac:dyDescent="0.25">
      <c r="A505" s="2"/>
      <c r="B505" s="2"/>
      <c r="C505" s="2"/>
      <c r="D505" s="2"/>
      <c r="E505" s="1"/>
    </row>
    <row r="506" spans="1:5" ht="15.75" customHeight="1" x14ac:dyDescent="0.25">
      <c r="A506" s="2"/>
      <c r="B506" s="2"/>
      <c r="C506" s="2"/>
      <c r="D506" s="2"/>
      <c r="E506" s="1"/>
    </row>
    <row r="507" spans="1:5" ht="15.75" customHeight="1" x14ac:dyDescent="0.25">
      <c r="A507" s="2"/>
      <c r="B507" s="2"/>
      <c r="C507" s="2"/>
      <c r="D507" s="2"/>
      <c r="E507" s="1"/>
    </row>
    <row r="508" spans="1:5" ht="15.75" customHeight="1" x14ac:dyDescent="0.25">
      <c r="A508" s="2"/>
      <c r="B508" s="2"/>
      <c r="C508" s="2"/>
      <c r="D508" s="2"/>
      <c r="E508" s="1"/>
    </row>
    <row r="509" spans="1:5" ht="15.75" customHeight="1" x14ac:dyDescent="0.25">
      <c r="A509" s="2"/>
      <c r="B509" s="2"/>
      <c r="C509" s="2"/>
      <c r="D509" s="2"/>
      <c r="E509" s="1"/>
    </row>
    <row r="510" spans="1:5" ht="15.75" customHeight="1" x14ac:dyDescent="0.25">
      <c r="A510" s="2"/>
      <c r="B510" s="2"/>
      <c r="C510" s="2"/>
      <c r="D510" s="2"/>
      <c r="E510" s="1"/>
    </row>
    <row r="511" spans="1:5" ht="15.75" customHeight="1" x14ac:dyDescent="0.25">
      <c r="A511" s="2"/>
      <c r="B511" s="2"/>
      <c r="C511" s="2"/>
      <c r="D511" s="2"/>
      <c r="E511" s="1"/>
    </row>
    <row r="512" spans="1:5" ht="15.75" customHeight="1" x14ac:dyDescent="0.25">
      <c r="A512" s="2"/>
      <c r="B512" s="2"/>
      <c r="C512" s="2"/>
      <c r="D512" s="2"/>
      <c r="E512" s="1"/>
    </row>
    <row r="513" spans="1:5" ht="15.75" customHeight="1" x14ac:dyDescent="0.25">
      <c r="A513" s="2"/>
      <c r="B513" s="2"/>
      <c r="C513" s="2"/>
      <c r="D513" s="2"/>
      <c r="E513" s="1"/>
    </row>
    <row r="514" spans="1:5" ht="15.75" customHeight="1" x14ac:dyDescent="0.25">
      <c r="A514" s="2"/>
      <c r="B514" s="2"/>
      <c r="C514" s="2"/>
      <c r="D514" s="2"/>
      <c r="E514" s="1"/>
    </row>
    <row r="515" spans="1:5" ht="15.75" customHeight="1" x14ac:dyDescent="0.25">
      <c r="A515" s="2"/>
      <c r="B515" s="2"/>
      <c r="C515" s="2"/>
      <c r="D515" s="2"/>
      <c r="E515" s="1"/>
    </row>
    <row r="516" spans="1:5" ht="15.75" customHeight="1" x14ac:dyDescent="0.25">
      <c r="A516" s="2"/>
      <c r="B516" s="2"/>
      <c r="C516" s="2"/>
      <c r="D516" s="2"/>
      <c r="E516" s="1"/>
    </row>
    <row r="517" spans="1:5" ht="15.75" customHeight="1" x14ac:dyDescent="0.25">
      <c r="A517" s="2"/>
      <c r="B517" s="2"/>
      <c r="C517" s="2"/>
      <c r="D517" s="2"/>
      <c r="E517" s="1"/>
    </row>
    <row r="518" spans="1:5" ht="15.75" customHeight="1" x14ac:dyDescent="0.25">
      <c r="A518" s="2"/>
      <c r="B518" s="2"/>
      <c r="C518" s="2"/>
      <c r="D518" s="2"/>
      <c r="E518" s="1"/>
    </row>
    <row r="519" spans="1:5" ht="15.75" customHeight="1" x14ac:dyDescent="0.25">
      <c r="A519" s="2"/>
      <c r="B519" s="2"/>
      <c r="C519" s="2"/>
      <c r="D519" s="2"/>
      <c r="E519" s="1"/>
    </row>
    <row r="520" spans="1:5" ht="15.75" customHeight="1" x14ac:dyDescent="0.25">
      <c r="A520" s="2"/>
      <c r="B520" s="2"/>
      <c r="C520" s="2"/>
      <c r="D520" s="2"/>
      <c r="E520" s="1"/>
    </row>
    <row r="521" spans="1:5" ht="15.75" customHeight="1" x14ac:dyDescent="0.25">
      <c r="A521" s="2"/>
      <c r="B521" s="2"/>
      <c r="C521" s="2"/>
      <c r="D521" s="2"/>
      <c r="E521" s="1"/>
    </row>
    <row r="522" spans="1:5" ht="15.75" customHeight="1" x14ac:dyDescent="0.25">
      <c r="A522" s="2"/>
      <c r="B522" s="2"/>
      <c r="C522" s="2"/>
      <c r="D522" s="2"/>
      <c r="E522" s="1"/>
    </row>
    <row r="523" spans="1:5" ht="15.75" customHeight="1" x14ac:dyDescent="0.25">
      <c r="A523" s="2"/>
      <c r="B523" s="2"/>
      <c r="C523" s="2"/>
      <c r="D523" s="2"/>
      <c r="E523" s="1"/>
    </row>
    <row r="524" spans="1:5" ht="15.75" customHeight="1" x14ac:dyDescent="0.25">
      <c r="A524" s="2"/>
      <c r="B524" s="2"/>
      <c r="C524" s="2"/>
      <c r="D524" s="2"/>
      <c r="E524" s="1"/>
    </row>
    <row r="525" spans="1:5" ht="15.75" customHeight="1" x14ac:dyDescent="0.25">
      <c r="A525" s="2"/>
      <c r="B525" s="2"/>
      <c r="C525" s="2"/>
      <c r="D525" s="2"/>
      <c r="E525" s="1"/>
    </row>
    <row r="526" spans="1:5" ht="15.75" customHeight="1" x14ac:dyDescent="0.25">
      <c r="A526" s="2"/>
      <c r="B526" s="2"/>
      <c r="C526" s="2"/>
      <c r="D526" s="2"/>
      <c r="E526" s="1"/>
    </row>
    <row r="527" spans="1:5" ht="15.75" customHeight="1" x14ac:dyDescent="0.25">
      <c r="A527" s="2"/>
      <c r="B527" s="2"/>
      <c r="C527" s="2"/>
      <c r="D527" s="2"/>
      <c r="E527" s="1"/>
    </row>
    <row r="528" spans="1:5" ht="15.75" customHeight="1" x14ac:dyDescent="0.25">
      <c r="A528" s="2"/>
      <c r="B528" s="2"/>
      <c r="C528" s="2"/>
      <c r="D528" s="2"/>
      <c r="E528" s="1"/>
    </row>
    <row r="529" spans="1:5" ht="15.75" customHeight="1" x14ac:dyDescent="0.25">
      <c r="A529" s="2"/>
      <c r="B529" s="2"/>
      <c r="C529" s="2"/>
      <c r="D529" s="2"/>
      <c r="E529" s="1"/>
    </row>
    <row r="530" spans="1:5" ht="15.75" customHeight="1" x14ac:dyDescent="0.25">
      <c r="A530" s="2"/>
      <c r="B530" s="2"/>
      <c r="C530" s="2"/>
      <c r="D530" s="2"/>
      <c r="E530" s="1"/>
    </row>
    <row r="531" spans="1:5" ht="15.75" customHeight="1" x14ac:dyDescent="0.25">
      <c r="A531" s="2"/>
      <c r="B531" s="2"/>
      <c r="C531" s="2"/>
      <c r="D531" s="2"/>
      <c r="E531" s="1"/>
    </row>
    <row r="532" spans="1:5" ht="15.75" customHeight="1" x14ac:dyDescent="0.25">
      <c r="A532" s="2"/>
      <c r="B532" s="2"/>
      <c r="C532" s="2"/>
      <c r="D532" s="2"/>
      <c r="E532" s="1"/>
    </row>
    <row r="533" spans="1:5" ht="15.75" customHeight="1" x14ac:dyDescent="0.25">
      <c r="A533" s="2"/>
      <c r="B533" s="2"/>
      <c r="C533" s="2"/>
      <c r="D533" s="2"/>
      <c r="E533" s="1"/>
    </row>
    <row r="534" spans="1:5" ht="15.75" customHeight="1" x14ac:dyDescent="0.25">
      <c r="A534" s="2"/>
      <c r="B534" s="2"/>
      <c r="C534" s="2"/>
      <c r="D534" s="2"/>
      <c r="E534" s="1"/>
    </row>
    <row r="535" spans="1:5" ht="15.75" customHeight="1" x14ac:dyDescent="0.25">
      <c r="A535" s="2"/>
      <c r="B535" s="2"/>
      <c r="C535" s="2"/>
      <c r="D535" s="2"/>
      <c r="E535" s="1"/>
    </row>
    <row r="536" spans="1:5" ht="15.75" customHeight="1" x14ac:dyDescent="0.25">
      <c r="A536" s="2"/>
      <c r="B536" s="2"/>
      <c r="C536" s="2"/>
      <c r="D536" s="2"/>
      <c r="E536" s="1"/>
    </row>
    <row r="537" spans="1:5" ht="15.75" customHeight="1" x14ac:dyDescent="0.25">
      <c r="A537" s="2"/>
      <c r="B537" s="2"/>
      <c r="C537" s="2"/>
      <c r="D537" s="2"/>
      <c r="E537" s="1"/>
    </row>
    <row r="538" spans="1:5" ht="15.75" customHeight="1" x14ac:dyDescent="0.25">
      <c r="A538" s="2"/>
      <c r="B538" s="2"/>
      <c r="C538" s="2"/>
      <c r="D538" s="2"/>
      <c r="E538" s="1"/>
    </row>
    <row r="539" spans="1:5" ht="15.75" customHeight="1" x14ac:dyDescent="0.25">
      <c r="A539" s="2"/>
      <c r="B539" s="2"/>
      <c r="C539" s="2"/>
      <c r="D539" s="2"/>
      <c r="E539" s="1"/>
    </row>
    <row r="540" spans="1:5" ht="15.75" customHeight="1" x14ac:dyDescent="0.25">
      <c r="A540" s="2"/>
      <c r="B540" s="2"/>
      <c r="C540" s="2"/>
      <c r="D540" s="2"/>
      <c r="E540" s="1"/>
    </row>
    <row r="541" spans="1:5" ht="15.75" customHeight="1" x14ac:dyDescent="0.25">
      <c r="A541" s="2"/>
      <c r="B541" s="2"/>
      <c r="C541" s="2"/>
      <c r="D541" s="2"/>
      <c r="E541" s="1"/>
    </row>
    <row r="542" spans="1:5" ht="15.75" customHeight="1" x14ac:dyDescent="0.25">
      <c r="A542" s="2"/>
      <c r="B542" s="2"/>
      <c r="C542" s="2"/>
      <c r="D542" s="2"/>
      <c r="E542" s="1"/>
    </row>
    <row r="543" spans="1:5" ht="15.75" customHeight="1" x14ac:dyDescent="0.25">
      <c r="A543" s="2"/>
      <c r="B543" s="2"/>
      <c r="C543" s="2"/>
      <c r="D543" s="2"/>
      <c r="E543" s="1"/>
    </row>
    <row r="544" spans="1:5" ht="15.75" customHeight="1" x14ac:dyDescent="0.25">
      <c r="A544" s="2"/>
      <c r="B544" s="2"/>
      <c r="C544" s="2"/>
      <c r="D544" s="2"/>
      <c r="E544" s="1"/>
    </row>
    <row r="545" spans="1:5" ht="15.75" customHeight="1" x14ac:dyDescent="0.25">
      <c r="A545" s="2"/>
      <c r="B545" s="2"/>
      <c r="C545" s="2"/>
      <c r="D545" s="2"/>
      <c r="E545" s="1"/>
    </row>
    <row r="546" spans="1:5" ht="15.75" customHeight="1" x14ac:dyDescent="0.25">
      <c r="A546" s="2"/>
      <c r="B546" s="2"/>
      <c r="C546" s="2"/>
      <c r="D546" s="2"/>
      <c r="E546" s="1"/>
    </row>
    <row r="547" spans="1:5" ht="15.75" customHeight="1" x14ac:dyDescent="0.25">
      <c r="A547" s="2"/>
      <c r="B547" s="2"/>
      <c r="C547" s="2"/>
      <c r="D547" s="2"/>
      <c r="E547" s="1"/>
    </row>
    <row r="548" spans="1:5" ht="15.75" customHeight="1" x14ac:dyDescent="0.25">
      <c r="A548" s="2"/>
      <c r="B548" s="2"/>
      <c r="C548" s="2"/>
      <c r="D548" s="2"/>
      <c r="E548" s="1"/>
    </row>
    <row r="549" spans="1:5" ht="15.75" customHeight="1" x14ac:dyDescent="0.25">
      <c r="A549" s="2"/>
      <c r="B549" s="2"/>
      <c r="C549" s="2"/>
      <c r="D549" s="2"/>
      <c r="E549" s="1"/>
    </row>
    <row r="550" spans="1:5" ht="15.75" customHeight="1" x14ac:dyDescent="0.25">
      <c r="A550" s="2"/>
      <c r="B550" s="2"/>
      <c r="C550" s="2"/>
      <c r="D550" s="2"/>
      <c r="E550" s="1"/>
    </row>
    <row r="551" spans="1:5" ht="15.75" customHeight="1" x14ac:dyDescent="0.25">
      <c r="A551" s="2"/>
      <c r="B551" s="2"/>
      <c r="C551" s="2"/>
      <c r="D551" s="2"/>
      <c r="E551" s="1"/>
    </row>
    <row r="552" spans="1:5" ht="15.75" customHeight="1" x14ac:dyDescent="0.25">
      <c r="A552" s="2"/>
      <c r="B552" s="2"/>
      <c r="C552" s="2"/>
      <c r="D552" s="2"/>
      <c r="E552" s="1"/>
    </row>
    <row r="553" spans="1:5" ht="15.75" customHeight="1" x14ac:dyDescent="0.25">
      <c r="A553" s="2"/>
      <c r="B553" s="2"/>
      <c r="C553" s="2"/>
      <c r="D553" s="2"/>
      <c r="E553" s="1"/>
    </row>
    <row r="554" spans="1:5" ht="15.75" customHeight="1" x14ac:dyDescent="0.25">
      <c r="A554" s="2"/>
      <c r="B554" s="2"/>
      <c r="C554" s="2"/>
      <c r="D554" s="2"/>
      <c r="E554" s="1"/>
    </row>
    <row r="555" spans="1:5" ht="15.75" customHeight="1" x14ac:dyDescent="0.25">
      <c r="A555" s="2"/>
      <c r="B555" s="2"/>
      <c r="C555" s="2"/>
      <c r="D555" s="2"/>
      <c r="E555" s="1"/>
    </row>
    <row r="556" spans="1:5" ht="15.75" customHeight="1" x14ac:dyDescent="0.25">
      <c r="A556" s="2"/>
      <c r="B556" s="2"/>
      <c r="C556" s="2"/>
      <c r="D556" s="2"/>
      <c r="E556" s="1"/>
    </row>
    <row r="557" spans="1:5" ht="15.75" customHeight="1" x14ac:dyDescent="0.25">
      <c r="A557" s="2"/>
      <c r="B557" s="2"/>
      <c r="C557" s="2"/>
      <c r="D557" s="2"/>
      <c r="E557" s="1"/>
    </row>
    <row r="558" spans="1:5" ht="15.75" customHeight="1" x14ac:dyDescent="0.25">
      <c r="A558" s="2"/>
      <c r="B558" s="2"/>
      <c r="C558" s="2"/>
      <c r="D558" s="2"/>
      <c r="E558" s="1"/>
    </row>
    <row r="559" spans="1:5" ht="15.75" customHeight="1" x14ac:dyDescent="0.25">
      <c r="A559" s="2"/>
      <c r="B559" s="2"/>
      <c r="C559" s="2"/>
      <c r="D559" s="2"/>
      <c r="E559" s="1"/>
    </row>
    <row r="560" spans="1:5" ht="15.75" customHeight="1" x14ac:dyDescent="0.25">
      <c r="A560" s="2"/>
      <c r="B560" s="2"/>
      <c r="C560" s="2"/>
      <c r="D560" s="2"/>
      <c r="E560" s="1"/>
    </row>
    <row r="561" spans="1:5" ht="15.75" customHeight="1" x14ac:dyDescent="0.25">
      <c r="A561" s="2"/>
      <c r="B561" s="2"/>
      <c r="C561" s="2"/>
      <c r="D561" s="2"/>
      <c r="E561" s="1"/>
    </row>
    <row r="562" spans="1:5" ht="15.75" customHeight="1" x14ac:dyDescent="0.25">
      <c r="A562" s="2"/>
      <c r="B562" s="2"/>
      <c r="C562" s="2"/>
      <c r="D562" s="2"/>
      <c r="E562" s="1"/>
    </row>
    <row r="563" spans="1:5" ht="15.75" customHeight="1" x14ac:dyDescent="0.25">
      <c r="A563" s="2"/>
      <c r="B563" s="2"/>
      <c r="C563" s="2"/>
      <c r="D563" s="2"/>
      <c r="E563" s="1"/>
    </row>
    <row r="564" spans="1:5" ht="15.75" customHeight="1" x14ac:dyDescent="0.25">
      <c r="A564" s="2"/>
      <c r="B564" s="2"/>
      <c r="C564" s="2"/>
      <c r="D564" s="2"/>
      <c r="E564" s="1"/>
    </row>
    <row r="565" spans="1:5" ht="15.75" customHeight="1" x14ac:dyDescent="0.25">
      <c r="A565" s="2"/>
      <c r="B565" s="2"/>
      <c r="C565" s="2"/>
      <c r="D565" s="2"/>
      <c r="E565" s="1"/>
    </row>
    <row r="566" spans="1:5" ht="15.75" customHeight="1" x14ac:dyDescent="0.25">
      <c r="A566" s="2"/>
      <c r="B566" s="2"/>
      <c r="C566" s="2"/>
      <c r="D566" s="2"/>
      <c r="E566" s="1"/>
    </row>
    <row r="567" spans="1:5" ht="15.75" customHeight="1" x14ac:dyDescent="0.25">
      <c r="A567" s="2"/>
      <c r="B567" s="2"/>
      <c r="C567" s="2"/>
      <c r="D567" s="2"/>
      <c r="E567" s="1"/>
    </row>
    <row r="568" spans="1:5" ht="15.75" customHeight="1" x14ac:dyDescent="0.25">
      <c r="A568" s="2"/>
      <c r="B568" s="2"/>
      <c r="C568" s="2"/>
      <c r="D568" s="2"/>
      <c r="E568" s="1"/>
    </row>
    <row r="569" spans="1:5" ht="15.75" customHeight="1" x14ac:dyDescent="0.25">
      <c r="A569" s="2"/>
      <c r="B569" s="2"/>
      <c r="C569" s="2"/>
      <c r="D569" s="2"/>
      <c r="E569" s="1"/>
    </row>
    <row r="570" spans="1:5" ht="15.75" customHeight="1" x14ac:dyDescent="0.25">
      <c r="A570" s="2"/>
      <c r="B570" s="2"/>
      <c r="C570" s="2"/>
      <c r="D570" s="2"/>
      <c r="E570" s="1"/>
    </row>
    <row r="571" spans="1:5" ht="15.75" customHeight="1" x14ac:dyDescent="0.25">
      <c r="A571" s="2"/>
      <c r="B571" s="2"/>
      <c r="C571" s="2"/>
      <c r="D571" s="2"/>
      <c r="E571" s="1"/>
    </row>
    <row r="572" spans="1:5" ht="15.75" customHeight="1" x14ac:dyDescent="0.25">
      <c r="A572" s="2"/>
      <c r="B572" s="2"/>
      <c r="C572" s="2"/>
      <c r="D572" s="2"/>
      <c r="E572" s="1"/>
    </row>
    <row r="573" spans="1:5" ht="15.75" customHeight="1" x14ac:dyDescent="0.25">
      <c r="A573" s="2"/>
      <c r="B573" s="2"/>
      <c r="C573" s="2"/>
      <c r="D573" s="2"/>
      <c r="E573" s="1"/>
    </row>
    <row r="574" spans="1:5" ht="15.75" customHeight="1" x14ac:dyDescent="0.25">
      <c r="A574" s="2"/>
      <c r="B574" s="2"/>
      <c r="C574" s="2"/>
      <c r="D574" s="2"/>
      <c r="E574" s="1"/>
    </row>
    <row r="575" spans="1:5" ht="15.75" customHeight="1" x14ac:dyDescent="0.25">
      <c r="A575" s="2"/>
      <c r="B575" s="2"/>
      <c r="C575" s="2"/>
      <c r="D575" s="2"/>
      <c r="E575" s="1"/>
    </row>
    <row r="576" spans="1:5" ht="15.75" customHeight="1" x14ac:dyDescent="0.25">
      <c r="A576" s="2"/>
      <c r="B576" s="2"/>
      <c r="C576" s="2"/>
      <c r="D576" s="2"/>
      <c r="E576" s="1"/>
    </row>
    <row r="577" spans="1:5" ht="15.75" customHeight="1" x14ac:dyDescent="0.25">
      <c r="A577" s="2"/>
      <c r="B577" s="2"/>
      <c r="C577" s="2"/>
      <c r="D577" s="2"/>
      <c r="E577" s="1"/>
    </row>
    <row r="578" spans="1:5" ht="15.75" customHeight="1" x14ac:dyDescent="0.25">
      <c r="A578" s="2"/>
      <c r="B578" s="2"/>
      <c r="C578" s="2"/>
      <c r="D578" s="2"/>
      <c r="E578" s="1"/>
    </row>
    <row r="579" spans="1:5" ht="15.75" customHeight="1" x14ac:dyDescent="0.25">
      <c r="A579" s="2"/>
      <c r="B579" s="2"/>
      <c r="C579" s="2"/>
      <c r="D579" s="2"/>
      <c r="E579" s="1"/>
    </row>
    <row r="580" spans="1:5" ht="15.75" customHeight="1" x14ac:dyDescent="0.25">
      <c r="A580" s="2"/>
      <c r="B580" s="2"/>
      <c r="C580" s="2"/>
      <c r="D580" s="2"/>
      <c r="E580" s="1"/>
    </row>
    <row r="581" spans="1:5" ht="15.75" customHeight="1" x14ac:dyDescent="0.25">
      <c r="A581" s="2"/>
      <c r="B581" s="2"/>
      <c r="C581" s="2"/>
      <c r="D581" s="2"/>
      <c r="E581" s="1"/>
    </row>
    <row r="582" spans="1:5" ht="15.75" customHeight="1" x14ac:dyDescent="0.25">
      <c r="A582" s="2"/>
      <c r="B582" s="2"/>
      <c r="C582" s="2"/>
      <c r="D582" s="2"/>
      <c r="E582" s="1"/>
    </row>
    <row r="583" spans="1:5" ht="15.75" customHeight="1" x14ac:dyDescent="0.25">
      <c r="A583" s="2"/>
      <c r="B583" s="2"/>
      <c r="C583" s="2"/>
      <c r="D583" s="2"/>
      <c r="E583" s="1"/>
    </row>
    <row r="584" spans="1:5" ht="15.75" customHeight="1" x14ac:dyDescent="0.25">
      <c r="A584" s="2"/>
      <c r="B584" s="2"/>
      <c r="C584" s="2"/>
      <c r="D584" s="2"/>
      <c r="E584" s="1"/>
    </row>
    <row r="585" spans="1:5" ht="15.75" customHeight="1" x14ac:dyDescent="0.25">
      <c r="A585" s="2"/>
      <c r="B585" s="2"/>
      <c r="C585" s="2"/>
      <c r="D585" s="2"/>
      <c r="E585" s="1"/>
    </row>
    <row r="586" spans="1:5" ht="15.75" customHeight="1" x14ac:dyDescent="0.25">
      <c r="A586" s="2"/>
      <c r="B586" s="2"/>
      <c r="C586" s="2"/>
      <c r="D586" s="2"/>
      <c r="E586" s="1"/>
    </row>
    <row r="587" spans="1:5" ht="15.75" customHeight="1" x14ac:dyDescent="0.25">
      <c r="A587" s="2"/>
      <c r="B587" s="2"/>
      <c r="C587" s="2"/>
      <c r="D587" s="2"/>
      <c r="E587" s="1"/>
    </row>
    <row r="588" spans="1:5" ht="15.75" customHeight="1" x14ac:dyDescent="0.25">
      <c r="A588" s="2"/>
      <c r="B588" s="2"/>
      <c r="C588" s="2"/>
      <c r="D588" s="2"/>
      <c r="E588" s="1"/>
    </row>
    <row r="589" spans="1:5" ht="15.75" customHeight="1" x14ac:dyDescent="0.25">
      <c r="A589" s="2"/>
      <c r="B589" s="2"/>
      <c r="C589" s="2"/>
      <c r="D589" s="2"/>
      <c r="E589" s="1"/>
    </row>
    <row r="590" spans="1:5" ht="15.75" customHeight="1" x14ac:dyDescent="0.25">
      <c r="A590" s="2"/>
      <c r="B590" s="2"/>
      <c r="C590" s="2"/>
      <c r="D590" s="2"/>
      <c r="E590" s="1"/>
    </row>
    <row r="591" spans="1:5" ht="15.75" customHeight="1" x14ac:dyDescent="0.25">
      <c r="A591" s="2"/>
      <c r="B591" s="2"/>
      <c r="C591" s="2"/>
      <c r="D591" s="2"/>
      <c r="E591" s="1"/>
    </row>
    <row r="592" spans="1:5" ht="15.75" customHeight="1" x14ac:dyDescent="0.25">
      <c r="A592" s="2"/>
      <c r="B592" s="2"/>
      <c r="C592" s="2"/>
      <c r="D592" s="2"/>
      <c r="E592" s="1"/>
    </row>
    <row r="593" spans="1:5" ht="15.75" customHeight="1" x14ac:dyDescent="0.25">
      <c r="A593" s="2"/>
      <c r="B593" s="2"/>
      <c r="C593" s="2"/>
      <c r="D593" s="2"/>
      <c r="E593" s="1"/>
    </row>
    <row r="594" spans="1:5" ht="15.75" customHeight="1" x14ac:dyDescent="0.25">
      <c r="A594" s="2"/>
      <c r="B594" s="2"/>
      <c r="C594" s="2"/>
      <c r="D594" s="2"/>
      <c r="E594" s="1"/>
    </row>
    <row r="595" spans="1:5" ht="15.75" customHeight="1" x14ac:dyDescent="0.25">
      <c r="A595" s="2"/>
      <c r="B595" s="2"/>
      <c r="C595" s="2"/>
      <c r="D595" s="2"/>
      <c r="E595" s="1"/>
    </row>
    <row r="596" spans="1:5" ht="15.75" customHeight="1" x14ac:dyDescent="0.25">
      <c r="A596" s="2"/>
      <c r="B596" s="2"/>
      <c r="C596" s="2"/>
      <c r="D596" s="2"/>
      <c r="E596" s="1"/>
    </row>
    <row r="597" spans="1:5" ht="15.75" customHeight="1" x14ac:dyDescent="0.25">
      <c r="A597" s="2"/>
      <c r="B597" s="2"/>
      <c r="C597" s="2"/>
      <c r="D597" s="2"/>
      <c r="E597" s="1"/>
    </row>
    <row r="598" spans="1:5" ht="15.75" customHeight="1" x14ac:dyDescent="0.25">
      <c r="A598" s="2"/>
      <c r="B598" s="2"/>
      <c r="C598" s="2"/>
      <c r="D598" s="2"/>
      <c r="E598" s="1"/>
    </row>
    <row r="599" spans="1:5" ht="15.75" customHeight="1" x14ac:dyDescent="0.25">
      <c r="A599" s="2"/>
      <c r="B599" s="2"/>
      <c r="C599" s="2"/>
      <c r="D599" s="2"/>
      <c r="E599" s="1"/>
    </row>
    <row r="600" spans="1:5" ht="15.75" customHeight="1" x14ac:dyDescent="0.25">
      <c r="A600" s="2"/>
      <c r="B600" s="2"/>
      <c r="C600" s="2"/>
      <c r="D600" s="2"/>
      <c r="E600" s="1"/>
    </row>
    <row r="601" spans="1:5" ht="15.75" customHeight="1" x14ac:dyDescent="0.25">
      <c r="A601" s="2"/>
      <c r="B601" s="2"/>
      <c r="C601" s="2"/>
      <c r="D601" s="2"/>
      <c r="E601" s="1"/>
    </row>
    <row r="602" spans="1:5" ht="15.75" customHeight="1" x14ac:dyDescent="0.25">
      <c r="A602" s="2"/>
      <c r="B602" s="2"/>
      <c r="C602" s="2"/>
      <c r="D602" s="2"/>
      <c r="E602" s="1"/>
    </row>
    <row r="603" spans="1:5" ht="15.75" customHeight="1" x14ac:dyDescent="0.25">
      <c r="A603" s="2"/>
      <c r="B603" s="2"/>
      <c r="C603" s="2"/>
      <c r="D603" s="2"/>
      <c r="E603" s="1"/>
    </row>
    <row r="604" spans="1:5" ht="15.75" customHeight="1" x14ac:dyDescent="0.25">
      <c r="A604" s="2"/>
      <c r="B604" s="2"/>
      <c r="C604" s="2"/>
      <c r="D604" s="2"/>
      <c r="E604" s="1"/>
    </row>
    <row r="605" spans="1:5" ht="15.75" customHeight="1" x14ac:dyDescent="0.25">
      <c r="A605" s="2"/>
      <c r="B605" s="2"/>
      <c r="C605" s="2"/>
      <c r="D605" s="2"/>
      <c r="E605" s="1"/>
    </row>
    <row r="606" spans="1:5" ht="15.75" customHeight="1" x14ac:dyDescent="0.25">
      <c r="A606" s="2"/>
      <c r="B606" s="2"/>
      <c r="C606" s="2"/>
      <c r="D606" s="2"/>
      <c r="E606" s="1"/>
    </row>
    <row r="607" spans="1:5" ht="15.75" customHeight="1" x14ac:dyDescent="0.25">
      <c r="A607" s="2"/>
      <c r="B607" s="2"/>
      <c r="C607" s="2"/>
      <c r="D607" s="2"/>
      <c r="E607" s="1"/>
    </row>
    <row r="608" spans="1:5" ht="15.75" customHeight="1" x14ac:dyDescent="0.25">
      <c r="A608" s="2"/>
      <c r="B608" s="2"/>
      <c r="C608" s="2"/>
      <c r="D608" s="2"/>
      <c r="E608" s="1"/>
    </row>
    <row r="609" spans="1:5" ht="15.75" customHeight="1" x14ac:dyDescent="0.25">
      <c r="A609" s="2"/>
      <c r="B609" s="2"/>
      <c r="C609" s="2"/>
      <c r="D609" s="2"/>
      <c r="E609" s="1"/>
    </row>
    <row r="610" spans="1:5" ht="15.75" customHeight="1" x14ac:dyDescent="0.25">
      <c r="A610" s="2"/>
      <c r="B610" s="2"/>
      <c r="C610" s="2"/>
      <c r="D610" s="2"/>
      <c r="E610" s="1"/>
    </row>
    <row r="611" spans="1:5" ht="15.75" customHeight="1" x14ac:dyDescent="0.25">
      <c r="A611" s="2"/>
      <c r="B611" s="2"/>
      <c r="C611" s="2"/>
      <c r="D611" s="2"/>
      <c r="E611" s="1"/>
    </row>
    <row r="612" spans="1:5" ht="15.75" customHeight="1" x14ac:dyDescent="0.25">
      <c r="A612" s="2"/>
      <c r="B612" s="2"/>
      <c r="C612" s="2"/>
      <c r="D612" s="2"/>
      <c r="E612" s="1"/>
    </row>
    <row r="613" spans="1:5" ht="15.75" customHeight="1" x14ac:dyDescent="0.25">
      <c r="A613" s="2"/>
      <c r="B613" s="2"/>
      <c r="C613" s="2"/>
      <c r="D613" s="2"/>
      <c r="E613" s="1"/>
    </row>
    <row r="614" spans="1:5" ht="15.75" customHeight="1" x14ac:dyDescent="0.25">
      <c r="A614" s="2"/>
      <c r="B614" s="2"/>
      <c r="C614" s="2"/>
      <c r="D614" s="2"/>
      <c r="E614" s="1"/>
    </row>
    <row r="615" spans="1:5" ht="15.75" customHeight="1" x14ac:dyDescent="0.25">
      <c r="A615" s="2"/>
      <c r="B615" s="2"/>
      <c r="C615" s="2"/>
      <c r="D615" s="2"/>
      <c r="E615" s="1"/>
    </row>
    <row r="616" spans="1:5" ht="15.75" customHeight="1" x14ac:dyDescent="0.25">
      <c r="A616" s="2"/>
      <c r="B616" s="2"/>
      <c r="C616" s="2"/>
      <c r="D616" s="2"/>
      <c r="E616" s="1"/>
    </row>
    <row r="617" spans="1:5" ht="15.75" customHeight="1" x14ac:dyDescent="0.25">
      <c r="A617" s="2"/>
      <c r="B617" s="2"/>
      <c r="C617" s="2"/>
      <c r="D617" s="2"/>
      <c r="E617" s="1"/>
    </row>
    <row r="618" spans="1:5" ht="15.75" customHeight="1" x14ac:dyDescent="0.25">
      <c r="A618" s="2"/>
      <c r="B618" s="2"/>
      <c r="C618" s="2"/>
      <c r="D618" s="2"/>
      <c r="E618" s="1"/>
    </row>
    <row r="619" spans="1:5" ht="15.75" customHeight="1" x14ac:dyDescent="0.25">
      <c r="A619" s="2"/>
      <c r="B619" s="2"/>
      <c r="C619" s="2"/>
      <c r="D619" s="2"/>
      <c r="E619" s="1"/>
    </row>
    <row r="620" spans="1:5" ht="15.75" customHeight="1" x14ac:dyDescent="0.25">
      <c r="A620" s="2"/>
      <c r="B620" s="2"/>
      <c r="C620" s="2"/>
      <c r="D620" s="2"/>
      <c r="E620" s="1"/>
    </row>
    <row r="621" spans="1:5" ht="15.75" customHeight="1" x14ac:dyDescent="0.25">
      <c r="A621" s="2"/>
      <c r="B621" s="2"/>
      <c r="C621" s="2"/>
      <c r="D621" s="2"/>
      <c r="E621" s="1"/>
    </row>
    <row r="622" spans="1:5" ht="15.75" customHeight="1" x14ac:dyDescent="0.25">
      <c r="A622" s="2"/>
      <c r="B622" s="2"/>
      <c r="C622" s="2"/>
      <c r="D622" s="2"/>
      <c r="E622" s="1"/>
    </row>
    <row r="623" spans="1:5" ht="15.75" customHeight="1" x14ac:dyDescent="0.25">
      <c r="A623" s="2"/>
      <c r="B623" s="2"/>
      <c r="C623" s="2"/>
      <c r="D623" s="2"/>
      <c r="E623" s="1"/>
    </row>
    <row r="624" spans="1:5" ht="15.75" customHeight="1" x14ac:dyDescent="0.25">
      <c r="A624" s="2"/>
      <c r="B624" s="2"/>
      <c r="C624" s="2"/>
      <c r="D624" s="2"/>
      <c r="E624" s="1"/>
    </row>
    <row r="625" spans="1:5" ht="15.75" customHeight="1" x14ac:dyDescent="0.25">
      <c r="A625" s="2"/>
      <c r="B625" s="2"/>
      <c r="C625" s="2"/>
      <c r="D625" s="2"/>
      <c r="E625" s="1"/>
    </row>
    <row r="626" spans="1:5" ht="15.75" customHeight="1" x14ac:dyDescent="0.25">
      <c r="A626" s="2"/>
      <c r="B626" s="2"/>
      <c r="C626" s="2"/>
      <c r="D626" s="2"/>
      <c r="E626" s="1"/>
    </row>
    <row r="627" spans="1:5" ht="15.75" customHeight="1" x14ac:dyDescent="0.25">
      <c r="A627" s="2"/>
      <c r="B627" s="2"/>
      <c r="C627" s="2"/>
      <c r="D627" s="2"/>
      <c r="E627" s="1"/>
    </row>
    <row r="628" spans="1:5" ht="15.75" customHeight="1" x14ac:dyDescent="0.25">
      <c r="A628" s="2"/>
      <c r="B628" s="2"/>
      <c r="C628" s="2"/>
      <c r="D628" s="2"/>
      <c r="E628" s="1"/>
    </row>
    <row r="629" spans="1:5" ht="15.75" customHeight="1" x14ac:dyDescent="0.25">
      <c r="A629" s="2"/>
      <c r="B629" s="2"/>
      <c r="C629" s="2"/>
      <c r="D629" s="2"/>
      <c r="E629" s="1"/>
    </row>
    <row r="630" spans="1:5" ht="15.75" customHeight="1" x14ac:dyDescent="0.25">
      <c r="A630" s="2"/>
      <c r="B630" s="2"/>
      <c r="C630" s="2"/>
      <c r="D630" s="2"/>
      <c r="E630" s="1"/>
    </row>
    <row r="631" spans="1:5" ht="15.75" customHeight="1" x14ac:dyDescent="0.25">
      <c r="A631" s="2"/>
      <c r="B631" s="2"/>
      <c r="C631" s="2"/>
      <c r="D631" s="2"/>
      <c r="E631" s="1"/>
    </row>
    <row r="632" spans="1:5" ht="15.75" customHeight="1" x14ac:dyDescent="0.25">
      <c r="A632" s="2"/>
      <c r="B632" s="2"/>
      <c r="C632" s="2"/>
      <c r="D632" s="2"/>
      <c r="E632" s="1"/>
    </row>
    <row r="633" spans="1:5" ht="15.75" customHeight="1" x14ac:dyDescent="0.25">
      <c r="A633" s="2"/>
      <c r="B633" s="2"/>
      <c r="C633" s="2"/>
      <c r="D633" s="2"/>
      <c r="E633" s="1"/>
    </row>
    <row r="634" spans="1:5" ht="15.75" customHeight="1" x14ac:dyDescent="0.25">
      <c r="A634" s="2"/>
      <c r="B634" s="2"/>
      <c r="C634" s="2"/>
      <c r="D634" s="2"/>
      <c r="E634" s="1"/>
    </row>
    <row r="635" spans="1:5" ht="15.75" customHeight="1" x14ac:dyDescent="0.25">
      <c r="A635" s="2"/>
      <c r="B635" s="2"/>
      <c r="C635" s="2"/>
      <c r="D635" s="2"/>
      <c r="E635" s="1"/>
    </row>
    <row r="636" spans="1:5" ht="15.75" customHeight="1" x14ac:dyDescent="0.25">
      <c r="A636" s="2"/>
      <c r="B636" s="2"/>
      <c r="C636" s="2"/>
      <c r="D636" s="2"/>
      <c r="E636" s="1"/>
    </row>
    <row r="637" spans="1:5" ht="15.75" customHeight="1" x14ac:dyDescent="0.25">
      <c r="A637" s="2"/>
      <c r="B637" s="2"/>
      <c r="C637" s="2"/>
      <c r="D637" s="2"/>
      <c r="E637" s="1"/>
    </row>
    <row r="638" spans="1:5" ht="15.75" customHeight="1" x14ac:dyDescent="0.25">
      <c r="A638" s="2"/>
      <c r="B638" s="2"/>
      <c r="C638" s="2"/>
      <c r="D638" s="2"/>
      <c r="E638" s="1"/>
    </row>
    <row r="639" spans="1:5" ht="15.75" customHeight="1" x14ac:dyDescent="0.25">
      <c r="A639" s="2"/>
      <c r="B639" s="2"/>
      <c r="C639" s="2"/>
      <c r="D639" s="2"/>
      <c r="E639" s="1"/>
    </row>
    <row r="640" spans="1:5" ht="15.75" customHeight="1" x14ac:dyDescent="0.25">
      <c r="A640" s="2"/>
      <c r="B640" s="2"/>
      <c r="C640" s="2"/>
      <c r="D640" s="2"/>
      <c r="E640" s="1"/>
    </row>
    <row r="641" spans="1:5" ht="15.75" customHeight="1" x14ac:dyDescent="0.25">
      <c r="A641" s="2"/>
      <c r="B641" s="2"/>
      <c r="C641" s="2"/>
      <c r="D641" s="2"/>
      <c r="E641" s="1"/>
    </row>
    <row r="642" spans="1:5" ht="15.75" customHeight="1" x14ac:dyDescent="0.25">
      <c r="A642" s="2"/>
      <c r="B642" s="2"/>
      <c r="C642" s="2"/>
      <c r="D642" s="2"/>
      <c r="E642" s="1"/>
    </row>
    <row r="643" spans="1:5" ht="15.75" customHeight="1" x14ac:dyDescent="0.25">
      <c r="A643" s="2"/>
      <c r="B643" s="2"/>
      <c r="C643" s="2"/>
      <c r="D643" s="2"/>
      <c r="E643" s="1"/>
    </row>
    <row r="644" spans="1:5" ht="15.75" customHeight="1" x14ac:dyDescent="0.25">
      <c r="A644" s="2"/>
      <c r="B644" s="2"/>
      <c r="C644" s="2"/>
      <c r="D644" s="2"/>
      <c r="E644" s="1"/>
    </row>
    <row r="645" spans="1:5" ht="15.75" customHeight="1" x14ac:dyDescent="0.25">
      <c r="A645" s="2"/>
      <c r="B645" s="2"/>
      <c r="C645" s="2"/>
      <c r="D645" s="2"/>
      <c r="E645" s="1"/>
    </row>
    <row r="646" spans="1:5" ht="15.75" customHeight="1" x14ac:dyDescent="0.25">
      <c r="A646" s="2"/>
      <c r="B646" s="2"/>
      <c r="C646" s="2"/>
      <c r="D646" s="2"/>
      <c r="E646" s="1"/>
    </row>
    <row r="647" spans="1:5" ht="15.75" customHeight="1" x14ac:dyDescent="0.25">
      <c r="A647" s="2"/>
      <c r="B647" s="2"/>
      <c r="C647" s="2"/>
      <c r="D647" s="2"/>
      <c r="E647" s="1"/>
    </row>
    <row r="648" spans="1:5" ht="15.75" customHeight="1" x14ac:dyDescent="0.25">
      <c r="A648" s="2"/>
      <c r="B648" s="2"/>
      <c r="C648" s="2"/>
      <c r="D648" s="2"/>
      <c r="E648" s="1"/>
    </row>
    <row r="649" spans="1:5" ht="15.75" customHeight="1" x14ac:dyDescent="0.25">
      <c r="A649" s="2"/>
      <c r="B649" s="2"/>
      <c r="C649" s="2"/>
      <c r="D649" s="2"/>
      <c r="E649" s="1"/>
    </row>
    <row r="650" spans="1:5" ht="15.75" customHeight="1" x14ac:dyDescent="0.25">
      <c r="A650" s="2"/>
      <c r="B650" s="2"/>
      <c r="C650" s="2"/>
      <c r="D650" s="2"/>
      <c r="E650" s="1"/>
    </row>
    <row r="651" spans="1:5" ht="15.75" customHeight="1" x14ac:dyDescent="0.25">
      <c r="A651" s="2"/>
      <c r="B651" s="2"/>
      <c r="C651" s="2"/>
      <c r="D651" s="2"/>
      <c r="E651" s="1"/>
    </row>
    <row r="652" spans="1:5" ht="15.75" customHeight="1" x14ac:dyDescent="0.25">
      <c r="A652" s="2"/>
      <c r="B652" s="2"/>
      <c r="C652" s="2"/>
      <c r="D652" s="2"/>
      <c r="E652" s="1"/>
    </row>
    <row r="653" spans="1:5" ht="15.75" customHeight="1" x14ac:dyDescent="0.25">
      <c r="A653" s="2"/>
      <c r="B653" s="2"/>
      <c r="C653" s="2"/>
      <c r="D653" s="2"/>
      <c r="E653" s="1"/>
    </row>
    <row r="654" spans="1:5" ht="15.75" customHeight="1" x14ac:dyDescent="0.25">
      <c r="A654" s="2"/>
      <c r="B654" s="2"/>
      <c r="C654" s="2"/>
      <c r="D654" s="2"/>
      <c r="E654" s="1"/>
    </row>
    <row r="655" spans="1:5" ht="15.75" customHeight="1" x14ac:dyDescent="0.25">
      <c r="A655" s="2"/>
      <c r="B655" s="2"/>
      <c r="C655" s="2"/>
      <c r="D655" s="2"/>
      <c r="E655" s="1"/>
    </row>
    <row r="656" spans="1:5" ht="15.75" customHeight="1" x14ac:dyDescent="0.25">
      <c r="A656" s="2"/>
      <c r="B656" s="2"/>
      <c r="C656" s="2"/>
      <c r="D656" s="2"/>
      <c r="E656" s="1"/>
    </row>
    <row r="657" spans="1:5" ht="15.75" customHeight="1" x14ac:dyDescent="0.25">
      <c r="A657" s="2"/>
      <c r="B657" s="2"/>
      <c r="C657" s="2"/>
      <c r="D657" s="2"/>
      <c r="E657" s="1"/>
    </row>
    <row r="658" spans="1:5" ht="15.75" customHeight="1" x14ac:dyDescent="0.25">
      <c r="A658" s="2"/>
      <c r="B658" s="2"/>
      <c r="C658" s="2"/>
      <c r="D658" s="2"/>
      <c r="E658" s="1"/>
    </row>
    <row r="659" spans="1:5" ht="15.75" customHeight="1" x14ac:dyDescent="0.25">
      <c r="A659" s="2"/>
      <c r="B659" s="2"/>
      <c r="C659" s="2"/>
      <c r="D659" s="2"/>
      <c r="E659" s="1"/>
    </row>
    <row r="660" spans="1:5" ht="15.75" customHeight="1" x14ac:dyDescent="0.25">
      <c r="A660" s="2"/>
      <c r="B660" s="2"/>
      <c r="C660" s="2"/>
      <c r="D660" s="2"/>
      <c r="E660" s="1"/>
    </row>
    <row r="661" spans="1:5" ht="15.75" customHeight="1" x14ac:dyDescent="0.25">
      <c r="A661" s="2"/>
      <c r="B661" s="2"/>
      <c r="C661" s="2"/>
      <c r="D661" s="2"/>
      <c r="E661" s="1"/>
    </row>
    <row r="662" spans="1:5" ht="15.75" customHeight="1" x14ac:dyDescent="0.25">
      <c r="A662" s="2"/>
      <c r="B662" s="2"/>
      <c r="C662" s="2"/>
      <c r="D662" s="2"/>
      <c r="E662" s="1"/>
    </row>
    <row r="663" spans="1:5" ht="15.75" customHeight="1" x14ac:dyDescent="0.25">
      <c r="A663" s="2"/>
      <c r="B663" s="2"/>
      <c r="C663" s="2"/>
      <c r="D663" s="2"/>
      <c r="E663" s="1"/>
    </row>
    <row r="664" spans="1:5" ht="15.75" customHeight="1" x14ac:dyDescent="0.25">
      <c r="A664" s="2"/>
      <c r="B664" s="2"/>
      <c r="C664" s="2"/>
      <c r="D664" s="2"/>
      <c r="E664" s="1"/>
    </row>
    <row r="665" spans="1:5" ht="15.75" customHeight="1" x14ac:dyDescent="0.25">
      <c r="A665" s="2"/>
      <c r="B665" s="2"/>
      <c r="C665" s="2"/>
      <c r="D665" s="2"/>
      <c r="E665" s="1"/>
    </row>
    <row r="666" spans="1:5" ht="15.75" customHeight="1" x14ac:dyDescent="0.25">
      <c r="A666" s="2"/>
      <c r="B666" s="2"/>
      <c r="C666" s="2"/>
      <c r="D666" s="2"/>
      <c r="E666" s="1"/>
    </row>
    <row r="667" spans="1:5" ht="15.75" customHeight="1" x14ac:dyDescent="0.25">
      <c r="A667" s="2"/>
      <c r="B667" s="2"/>
      <c r="C667" s="2"/>
      <c r="D667" s="2"/>
      <c r="E667" s="1"/>
    </row>
    <row r="668" spans="1:5" ht="15.75" customHeight="1" x14ac:dyDescent="0.25">
      <c r="A668" s="2"/>
      <c r="B668" s="2"/>
      <c r="C668" s="2"/>
      <c r="D668" s="2"/>
      <c r="E668" s="1"/>
    </row>
    <row r="669" spans="1:5" ht="15.75" customHeight="1" x14ac:dyDescent="0.25">
      <c r="A669" s="2"/>
      <c r="B669" s="2"/>
      <c r="C669" s="2"/>
      <c r="D669" s="2"/>
      <c r="E669" s="1"/>
    </row>
    <row r="670" spans="1:5" ht="15.75" customHeight="1" x14ac:dyDescent="0.25">
      <c r="A670" s="2"/>
      <c r="B670" s="2"/>
      <c r="C670" s="2"/>
      <c r="D670" s="2"/>
      <c r="E670" s="1"/>
    </row>
    <row r="671" spans="1:5" ht="15.75" customHeight="1" x14ac:dyDescent="0.25">
      <c r="A671" s="2"/>
      <c r="B671" s="2"/>
      <c r="C671" s="2"/>
      <c r="D671" s="2"/>
      <c r="E671" s="1"/>
    </row>
    <row r="672" spans="1:5" ht="15.75" customHeight="1" x14ac:dyDescent="0.25">
      <c r="A672" s="2"/>
      <c r="B672" s="2"/>
      <c r="C672" s="2"/>
      <c r="D672" s="2"/>
      <c r="E672" s="1"/>
    </row>
    <row r="673" spans="1:5" ht="15.75" customHeight="1" x14ac:dyDescent="0.25">
      <c r="A673" s="2"/>
      <c r="B673" s="2"/>
      <c r="C673" s="2"/>
      <c r="D673" s="2"/>
      <c r="E673" s="1"/>
    </row>
    <row r="674" spans="1:5" ht="15.75" customHeight="1" x14ac:dyDescent="0.25">
      <c r="A674" s="2"/>
      <c r="B674" s="2"/>
      <c r="C674" s="2"/>
      <c r="D674" s="2"/>
      <c r="E674" s="1"/>
    </row>
    <row r="675" spans="1:5" ht="15.75" customHeight="1" x14ac:dyDescent="0.25">
      <c r="A675" s="2"/>
      <c r="B675" s="2"/>
      <c r="C675" s="2"/>
      <c r="D675" s="2"/>
      <c r="E675" s="1"/>
    </row>
    <row r="676" spans="1:5" ht="15.75" customHeight="1" x14ac:dyDescent="0.25">
      <c r="A676" s="2"/>
      <c r="B676" s="2"/>
      <c r="C676" s="2"/>
      <c r="D676" s="2"/>
      <c r="E676" s="1"/>
    </row>
    <row r="677" spans="1:5" ht="15.75" customHeight="1" x14ac:dyDescent="0.25">
      <c r="A677" s="2"/>
      <c r="B677" s="2"/>
      <c r="C677" s="2"/>
      <c r="D677" s="2"/>
      <c r="E677" s="1"/>
    </row>
    <row r="678" spans="1:5" ht="15.75" customHeight="1" x14ac:dyDescent="0.25">
      <c r="A678" s="2"/>
      <c r="B678" s="2"/>
      <c r="C678" s="2"/>
      <c r="D678" s="2"/>
      <c r="E678" s="1"/>
    </row>
    <row r="679" spans="1:5" ht="15.75" customHeight="1" x14ac:dyDescent="0.25">
      <c r="A679" s="2"/>
      <c r="B679" s="2"/>
      <c r="C679" s="2"/>
      <c r="D679" s="2"/>
      <c r="E679" s="1"/>
    </row>
    <row r="680" spans="1:5" ht="15.75" customHeight="1" x14ac:dyDescent="0.25">
      <c r="A680" s="2"/>
      <c r="B680" s="2"/>
      <c r="C680" s="2"/>
      <c r="D680" s="2"/>
      <c r="E680" s="1"/>
    </row>
    <row r="681" spans="1:5" ht="15.75" customHeight="1" x14ac:dyDescent="0.25">
      <c r="A681" s="2"/>
      <c r="B681" s="2"/>
      <c r="C681" s="2"/>
      <c r="D681" s="2"/>
      <c r="E681" s="1"/>
    </row>
    <row r="682" spans="1:5" ht="15.75" customHeight="1" x14ac:dyDescent="0.25">
      <c r="A682" s="2"/>
      <c r="B682" s="2"/>
      <c r="C682" s="2"/>
      <c r="D682" s="2"/>
      <c r="E682" s="1"/>
    </row>
    <row r="683" spans="1:5" ht="15.75" customHeight="1" x14ac:dyDescent="0.25">
      <c r="A683" s="2"/>
      <c r="B683" s="2"/>
      <c r="C683" s="2"/>
      <c r="D683" s="2"/>
      <c r="E683" s="1"/>
    </row>
    <row r="684" spans="1:5" ht="15.75" customHeight="1" x14ac:dyDescent="0.25">
      <c r="A684" s="2"/>
      <c r="B684" s="2"/>
      <c r="C684" s="2"/>
      <c r="D684" s="2"/>
      <c r="E684" s="1"/>
    </row>
    <row r="685" spans="1:5" ht="15.75" customHeight="1" x14ac:dyDescent="0.25">
      <c r="A685" s="2"/>
      <c r="B685" s="2"/>
      <c r="C685" s="2"/>
      <c r="D685" s="2"/>
      <c r="E685" s="1"/>
    </row>
    <row r="686" spans="1:5" ht="15.75" customHeight="1" x14ac:dyDescent="0.25">
      <c r="A686" s="2"/>
      <c r="B686" s="2"/>
      <c r="C686" s="2"/>
      <c r="D686" s="2"/>
      <c r="E686" s="1"/>
    </row>
    <row r="687" spans="1:5" ht="15.75" customHeight="1" x14ac:dyDescent="0.25">
      <c r="A687" s="2"/>
      <c r="B687" s="2"/>
      <c r="C687" s="2"/>
      <c r="D687" s="2"/>
      <c r="E687" s="1"/>
    </row>
    <row r="688" spans="1:5" ht="15.75" customHeight="1" x14ac:dyDescent="0.25">
      <c r="A688" s="2"/>
      <c r="B688" s="2"/>
      <c r="C688" s="2"/>
      <c r="D688" s="2"/>
      <c r="E688" s="1"/>
    </row>
    <row r="689" spans="1:5" ht="15.75" customHeight="1" x14ac:dyDescent="0.25">
      <c r="A689" s="2"/>
      <c r="B689" s="2"/>
      <c r="C689" s="2"/>
      <c r="D689" s="2"/>
      <c r="E689" s="1"/>
    </row>
    <row r="690" spans="1:5" ht="15.75" customHeight="1" x14ac:dyDescent="0.25">
      <c r="A690" s="2"/>
      <c r="B690" s="2"/>
      <c r="C690" s="2"/>
      <c r="D690" s="2"/>
      <c r="E690" s="1"/>
    </row>
    <row r="691" spans="1:5" ht="15.75" customHeight="1" x14ac:dyDescent="0.25">
      <c r="A691" s="2"/>
      <c r="B691" s="2"/>
      <c r="C691" s="2"/>
      <c r="D691" s="2"/>
      <c r="E691" s="1"/>
    </row>
    <row r="692" spans="1:5" ht="15.75" customHeight="1" x14ac:dyDescent="0.25">
      <c r="A692" s="2"/>
      <c r="B692" s="2"/>
      <c r="C692" s="2"/>
      <c r="D692" s="2"/>
      <c r="E692" s="1"/>
    </row>
    <row r="693" spans="1:5" ht="15.75" customHeight="1" x14ac:dyDescent="0.25">
      <c r="A693" s="2"/>
      <c r="B693" s="2"/>
      <c r="C693" s="2"/>
      <c r="D693" s="2"/>
      <c r="E693" s="1"/>
    </row>
    <row r="694" spans="1:5" ht="15.75" customHeight="1" x14ac:dyDescent="0.25">
      <c r="A694" s="2"/>
      <c r="B694" s="2"/>
      <c r="C694" s="2"/>
      <c r="D694" s="2"/>
      <c r="E694" s="1"/>
    </row>
    <row r="695" spans="1:5" ht="15.75" customHeight="1" x14ac:dyDescent="0.25">
      <c r="A695" s="2"/>
      <c r="B695" s="2"/>
      <c r="C695" s="2"/>
      <c r="D695" s="2"/>
      <c r="E695" s="1"/>
    </row>
    <row r="696" spans="1:5" ht="15.75" customHeight="1" x14ac:dyDescent="0.25">
      <c r="A696" s="2"/>
      <c r="B696" s="2"/>
      <c r="C696" s="2"/>
      <c r="D696" s="2"/>
      <c r="E696" s="1"/>
    </row>
    <row r="697" spans="1:5" ht="15.75" customHeight="1" x14ac:dyDescent="0.25">
      <c r="A697" s="2"/>
      <c r="B697" s="2"/>
      <c r="C697" s="2"/>
      <c r="D697" s="2"/>
      <c r="E697" s="1"/>
    </row>
    <row r="698" spans="1:5" ht="15.75" customHeight="1" x14ac:dyDescent="0.25">
      <c r="A698" s="2"/>
      <c r="B698" s="2"/>
      <c r="C698" s="2"/>
      <c r="D698" s="2"/>
      <c r="E698" s="1"/>
    </row>
    <row r="699" spans="1:5" ht="15.75" customHeight="1" x14ac:dyDescent="0.25">
      <c r="A699" s="2"/>
      <c r="B699" s="2"/>
      <c r="C699" s="2"/>
      <c r="D699" s="2"/>
      <c r="E699" s="1"/>
    </row>
    <row r="700" spans="1:5" ht="15.75" customHeight="1" x14ac:dyDescent="0.25">
      <c r="A700" s="2"/>
      <c r="B700" s="2"/>
      <c r="C700" s="2"/>
      <c r="D700" s="2"/>
      <c r="E700" s="1"/>
    </row>
    <row r="701" spans="1:5" ht="15.75" customHeight="1" x14ac:dyDescent="0.25">
      <c r="A701" s="2"/>
      <c r="B701" s="2"/>
      <c r="C701" s="2"/>
      <c r="D701" s="2"/>
      <c r="E701" s="1"/>
    </row>
    <row r="702" spans="1:5" ht="15.75" customHeight="1" x14ac:dyDescent="0.25">
      <c r="A702" s="2"/>
      <c r="B702" s="2"/>
      <c r="C702" s="2"/>
      <c r="D702" s="2"/>
      <c r="E702" s="1"/>
    </row>
    <row r="703" spans="1:5" ht="15.75" customHeight="1" x14ac:dyDescent="0.25">
      <c r="A703" s="2"/>
      <c r="B703" s="2"/>
      <c r="C703" s="2"/>
      <c r="D703" s="2"/>
      <c r="E703" s="1"/>
    </row>
    <row r="704" spans="1:5" ht="15.75" customHeight="1" x14ac:dyDescent="0.25">
      <c r="A704" s="2"/>
      <c r="B704" s="2"/>
      <c r="C704" s="2"/>
      <c r="D704" s="2"/>
      <c r="E704" s="1"/>
    </row>
    <row r="705" spans="1:5" ht="15.75" customHeight="1" x14ac:dyDescent="0.25">
      <c r="A705" s="2"/>
      <c r="B705" s="2"/>
      <c r="C705" s="2"/>
      <c r="D705" s="2"/>
      <c r="E705" s="1"/>
    </row>
    <row r="706" spans="1:5" ht="15.75" customHeight="1" x14ac:dyDescent="0.25">
      <c r="A706" s="2"/>
      <c r="B706" s="2"/>
      <c r="C706" s="2"/>
      <c r="D706" s="2"/>
      <c r="E706" s="1"/>
    </row>
    <row r="707" spans="1:5" ht="15.75" customHeight="1" x14ac:dyDescent="0.25">
      <c r="A707" s="2"/>
      <c r="B707" s="2"/>
      <c r="C707" s="2"/>
      <c r="D707" s="2"/>
      <c r="E707" s="1"/>
    </row>
    <row r="708" spans="1:5" ht="15.75" customHeight="1" x14ac:dyDescent="0.25">
      <c r="A708" s="2"/>
      <c r="B708" s="2"/>
      <c r="C708" s="2"/>
      <c r="D708" s="2"/>
      <c r="E708" s="1"/>
    </row>
    <row r="709" spans="1:5" ht="15.75" customHeight="1" x14ac:dyDescent="0.25">
      <c r="A709" s="2"/>
      <c r="B709" s="2"/>
      <c r="C709" s="2"/>
      <c r="D709" s="2"/>
      <c r="E709" s="1"/>
    </row>
    <row r="710" spans="1:5" ht="15.75" customHeight="1" x14ac:dyDescent="0.25">
      <c r="A710" s="2"/>
      <c r="B710" s="2"/>
      <c r="C710" s="2"/>
      <c r="D710" s="2"/>
      <c r="E710" s="1"/>
    </row>
    <row r="711" spans="1:5" ht="15.75" customHeight="1" x14ac:dyDescent="0.25">
      <c r="A711" s="2"/>
      <c r="B711" s="2"/>
      <c r="C711" s="2"/>
      <c r="D711" s="2"/>
      <c r="E711" s="1"/>
    </row>
    <row r="712" spans="1:5" ht="15.75" customHeight="1" x14ac:dyDescent="0.25">
      <c r="A712" s="2"/>
      <c r="B712" s="2"/>
      <c r="C712" s="2"/>
      <c r="D712" s="2"/>
      <c r="E712" s="1"/>
    </row>
    <row r="713" spans="1:5" ht="15.75" customHeight="1" x14ac:dyDescent="0.25">
      <c r="A713" s="2"/>
      <c r="B713" s="2"/>
      <c r="C713" s="2"/>
      <c r="D713" s="2"/>
      <c r="E713" s="1"/>
    </row>
    <row r="714" spans="1:5" ht="15.75" customHeight="1" x14ac:dyDescent="0.25">
      <c r="A714" s="2"/>
      <c r="B714" s="2"/>
      <c r="C714" s="2"/>
      <c r="D714" s="2"/>
      <c r="E714" s="1"/>
    </row>
    <row r="715" spans="1:5" ht="15.75" customHeight="1" x14ac:dyDescent="0.25">
      <c r="A715" s="2"/>
      <c r="B715" s="2"/>
      <c r="C715" s="2"/>
      <c r="D715" s="2"/>
      <c r="E715" s="1"/>
    </row>
    <row r="716" spans="1:5" ht="15.75" customHeight="1" x14ac:dyDescent="0.25">
      <c r="A716" s="2"/>
      <c r="B716" s="2"/>
      <c r="C716" s="2"/>
      <c r="D716" s="2"/>
      <c r="E716" s="1"/>
    </row>
    <row r="717" spans="1:5" ht="15.75" customHeight="1" x14ac:dyDescent="0.25">
      <c r="A717" s="2"/>
      <c r="B717" s="2"/>
      <c r="C717" s="2"/>
      <c r="D717" s="2"/>
      <c r="E717" s="1"/>
    </row>
    <row r="718" spans="1:5" ht="15.75" customHeight="1" x14ac:dyDescent="0.25">
      <c r="A718" s="2"/>
      <c r="B718" s="2"/>
      <c r="C718" s="2"/>
      <c r="D718" s="2"/>
      <c r="E718" s="1"/>
    </row>
    <row r="719" spans="1:5" ht="15.75" customHeight="1" x14ac:dyDescent="0.25">
      <c r="A719" s="2"/>
      <c r="B719" s="2"/>
      <c r="C719" s="2"/>
      <c r="D719" s="2"/>
      <c r="E719" s="1"/>
    </row>
    <row r="720" spans="1:5" ht="15.75" customHeight="1" x14ac:dyDescent="0.25">
      <c r="A720" s="2"/>
      <c r="B720" s="2"/>
      <c r="C720" s="2"/>
      <c r="D720" s="2"/>
      <c r="E720" s="1"/>
    </row>
    <row r="721" spans="1:5" ht="15.75" customHeight="1" x14ac:dyDescent="0.25">
      <c r="A721" s="2"/>
      <c r="B721" s="2"/>
      <c r="C721" s="2"/>
      <c r="D721" s="2"/>
      <c r="E721" s="1"/>
    </row>
    <row r="722" spans="1:5" ht="15.75" customHeight="1" x14ac:dyDescent="0.25">
      <c r="A722" s="2"/>
      <c r="B722" s="2"/>
      <c r="C722" s="2"/>
      <c r="D722" s="2"/>
      <c r="E722" s="1"/>
    </row>
    <row r="723" spans="1:5" ht="15.75" customHeight="1" x14ac:dyDescent="0.25">
      <c r="A723" s="2"/>
      <c r="B723" s="2"/>
      <c r="C723" s="2"/>
      <c r="D723" s="2"/>
      <c r="E723" s="1"/>
    </row>
    <row r="724" spans="1:5" ht="15.75" customHeight="1" x14ac:dyDescent="0.25">
      <c r="A724" s="2"/>
      <c r="B724" s="2"/>
      <c r="C724" s="2"/>
      <c r="D724" s="2"/>
      <c r="E724" s="1"/>
    </row>
    <row r="725" spans="1:5" ht="15.75" customHeight="1" x14ac:dyDescent="0.25">
      <c r="A725" s="2"/>
      <c r="B725" s="2"/>
      <c r="C725" s="2"/>
      <c r="D725" s="2"/>
      <c r="E725" s="1"/>
    </row>
    <row r="726" spans="1:5" ht="15.75" customHeight="1" x14ac:dyDescent="0.25">
      <c r="A726" s="2"/>
      <c r="B726" s="2"/>
      <c r="C726" s="2"/>
      <c r="D726" s="2"/>
      <c r="E726" s="1"/>
    </row>
    <row r="727" spans="1:5" ht="15.75" customHeight="1" x14ac:dyDescent="0.25">
      <c r="A727" s="2"/>
      <c r="B727" s="2"/>
      <c r="C727" s="2"/>
      <c r="D727" s="2"/>
      <c r="E727" s="1"/>
    </row>
    <row r="728" spans="1:5" ht="15.75" customHeight="1" x14ac:dyDescent="0.25">
      <c r="A728" s="2"/>
      <c r="B728" s="2"/>
      <c r="C728" s="2"/>
      <c r="D728" s="2"/>
      <c r="E728" s="1"/>
    </row>
    <row r="729" spans="1:5" ht="15.75" customHeight="1" x14ac:dyDescent="0.25">
      <c r="A729" s="2"/>
      <c r="B729" s="2"/>
      <c r="C729" s="2"/>
      <c r="D729" s="2"/>
      <c r="E729" s="1"/>
    </row>
    <row r="730" spans="1:5" ht="15.75" customHeight="1" x14ac:dyDescent="0.25">
      <c r="A730" s="2"/>
      <c r="B730" s="2"/>
      <c r="C730" s="2"/>
      <c r="D730" s="2"/>
      <c r="E730" s="1"/>
    </row>
    <row r="731" spans="1:5" ht="15.75" customHeight="1" x14ac:dyDescent="0.25">
      <c r="A731" s="2"/>
      <c r="B731" s="2"/>
      <c r="C731" s="2"/>
      <c r="D731" s="2"/>
      <c r="E731" s="1"/>
    </row>
    <row r="732" spans="1:5" ht="15.75" customHeight="1" x14ac:dyDescent="0.25">
      <c r="A732" s="2"/>
      <c r="B732" s="2"/>
      <c r="C732" s="2"/>
      <c r="D732" s="2"/>
      <c r="E732" s="1"/>
    </row>
    <row r="733" spans="1:5" ht="15.75" customHeight="1" x14ac:dyDescent="0.25">
      <c r="A733" s="2"/>
      <c r="B733" s="2"/>
      <c r="C733" s="2"/>
      <c r="D733" s="2"/>
      <c r="E733" s="1"/>
    </row>
    <row r="734" spans="1:5" ht="15.75" customHeight="1" x14ac:dyDescent="0.25">
      <c r="A734" s="2"/>
      <c r="B734" s="2"/>
      <c r="C734" s="2"/>
      <c r="D734" s="2"/>
      <c r="E734" s="1"/>
    </row>
    <row r="735" spans="1:5" ht="15.75" customHeight="1" x14ac:dyDescent="0.25">
      <c r="A735" s="2"/>
      <c r="B735" s="2"/>
      <c r="C735" s="2"/>
      <c r="D735" s="2"/>
      <c r="E735" s="1"/>
    </row>
    <row r="736" spans="1:5" ht="15.75" customHeight="1" x14ac:dyDescent="0.25">
      <c r="A736" s="2"/>
      <c r="B736" s="2"/>
      <c r="C736" s="2"/>
      <c r="D736" s="2"/>
      <c r="E736" s="1"/>
    </row>
    <row r="737" spans="1:5" ht="15.75" customHeight="1" x14ac:dyDescent="0.25">
      <c r="A737" s="2"/>
      <c r="B737" s="2"/>
      <c r="C737" s="2"/>
      <c r="D737" s="2"/>
      <c r="E737" s="1"/>
    </row>
    <row r="738" spans="1:5" ht="15.75" customHeight="1" x14ac:dyDescent="0.25">
      <c r="A738" s="2"/>
      <c r="B738" s="2"/>
      <c r="C738" s="2"/>
      <c r="D738" s="2"/>
      <c r="E738" s="1"/>
    </row>
    <row r="739" spans="1:5" ht="15.75" customHeight="1" x14ac:dyDescent="0.25">
      <c r="A739" s="2"/>
      <c r="B739" s="2"/>
      <c r="C739" s="2"/>
      <c r="D739" s="2"/>
      <c r="E739" s="1"/>
    </row>
    <row r="740" spans="1:5" ht="15.75" customHeight="1" x14ac:dyDescent="0.25">
      <c r="A740" s="2"/>
      <c r="B740" s="2"/>
      <c r="C740" s="2"/>
      <c r="D740" s="2"/>
      <c r="E740" s="1"/>
    </row>
    <row r="741" spans="1:5" ht="15.75" customHeight="1" x14ac:dyDescent="0.25">
      <c r="A741" s="2"/>
      <c r="B741" s="2"/>
      <c r="C741" s="2"/>
      <c r="D741" s="2"/>
      <c r="E741" s="1"/>
    </row>
    <row r="742" spans="1:5" ht="15.75" customHeight="1" x14ac:dyDescent="0.25">
      <c r="A742" s="2"/>
      <c r="B742" s="2"/>
      <c r="C742" s="2"/>
      <c r="D742" s="2"/>
      <c r="E742" s="1"/>
    </row>
    <row r="743" spans="1:5" ht="15.75" customHeight="1" x14ac:dyDescent="0.25">
      <c r="A743" s="2"/>
      <c r="B743" s="2"/>
      <c r="C743" s="2"/>
      <c r="D743" s="2"/>
      <c r="E743" s="1"/>
    </row>
    <row r="744" spans="1:5" ht="15.75" customHeight="1" x14ac:dyDescent="0.25">
      <c r="A744" s="2"/>
      <c r="B744" s="2"/>
      <c r="C744" s="2"/>
      <c r="D744" s="2"/>
      <c r="E744" s="1"/>
    </row>
    <row r="745" spans="1:5" ht="15.75" customHeight="1" x14ac:dyDescent="0.25">
      <c r="A745" s="2"/>
      <c r="B745" s="2"/>
      <c r="C745" s="2"/>
      <c r="D745" s="2"/>
      <c r="E745" s="1"/>
    </row>
    <row r="746" spans="1:5" ht="15.75" customHeight="1" x14ac:dyDescent="0.25">
      <c r="A746" s="2"/>
      <c r="B746" s="2"/>
      <c r="C746" s="2"/>
      <c r="D746" s="2"/>
      <c r="E746" s="1"/>
    </row>
    <row r="747" spans="1:5" ht="15.75" customHeight="1" x14ac:dyDescent="0.25">
      <c r="A747" s="2"/>
      <c r="B747" s="2"/>
      <c r="C747" s="2"/>
      <c r="D747" s="2"/>
      <c r="E747" s="1"/>
    </row>
    <row r="748" spans="1:5" ht="15.75" customHeight="1" x14ac:dyDescent="0.25">
      <c r="A748" s="2"/>
      <c r="B748" s="2"/>
      <c r="C748" s="2"/>
      <c r="D748" s="2"/>
      <c r="E748" s="1"/>
    </row>
    <row r="749" spans="1:5" ht="15.75" customHeight="1" x14ac:dyDescent="0.25">
      <c r="A749" s="2"/>
      <c r="B749" s="2"/>
      <c r="C749" s="2"/>
      <c r="D749" s="2"/>
      <c r="E749" s="1"/>
    </row>
    <row r="750" spans="1:5" ht="15.75" customHeight="1" x14ac:dyDescent="0.25">
      <c r="A750" s="2"/>
      <c r="B750" s="2"/>
      <c r="C750" s="2"/>
      <c r="D750" s="2"/>
      <c r="E750" s="1"/>
    </row>
    <row r="751" spans="1:5" ht="15.75" customHeight="1" x14ac:dyDescent="0.25">
      <c r="A751" s="2"/>
      <c r="B751" s="2"/>
      <c r="C751" s="2"/>
      <c r="D751" s="2"/>
      <c r="E751" s="1"/>
    </row>
    <row r="752" spans="1:5" ht="15.75" customHeight="1" x14ac:dyDescent="0.25">
      <c r="A752" s="2"/>
      <c r="B752" s="2"/>
      <c r="C752" s="2"/>
      <c r="D752" s="2"/>
      <c r="E752" s="1"/>
    </row>
    <row r="753" spans="1:5" ht="15.75" customHeight="1" x14ac:dyDescent="0.25">
      <c r="A753" s="2"/>
      <c r="B753" s="2"/>
      <c r="C753" s="2"/>
      <c r="D753" s="2"/>
      <c r="E753" s="1"/>
    </row>
    <row r="754" spans="1:5" ht="15.75" customHeight="1" x14ac:dyDescent="0.25">
      <c r="A754" s="2"/>
      <c r="B754" s="2"/>
      <c r="C754" s="2"/>
      <c r="D754" s="2"/>
      <c r="E754" s="1"/>
    </row>
    <row r="755" spans="1:5" ht="15.75" customHeight="1" x14ac:dyDescent="0.25">
      <c r="A755" s="2"/>
      <c r="B755" s="2"/>
      <c r="C755" s="2"/>
      <c r="D755" s="2"/>
      <c r="E755" s="1"/>
    </row>
    <row r="756" spans="1:5" ht="15.75" customHeight="1" x14ac:dyDescent="0.25">
      <c r="A756" s="2"/>
      <c r="B756" s="2"/>
      <c r="C756" s="2"/>
      <c r="D756" s="2"/>
      <c r="E756" s="1"/>
    </row>
    <row r="757" spans="1:5" ht="15.75" customHeight="1" x14ac:dyDescent="0.25">
      <c r="A757" s="2"/>
      <c r="B757" s="2"/>
      <c r="C757" s="2"/>
      <c r="D757" s="2"/>
      <c r="E757" s="1"/>
    </row>
    <row r="758" spans="1:5" ht="15.75" customHeight="1" x14ac:dyDescent="0.25">
      <c r="A758" s="2"/>
      <c r="B758" s="2"/>
      <c r="C758" s="2"/>
      <c r="D758" s="2"/>
      <c r="E758" s="1"/>
    </row>
    <row r="759" spans="1:5" ht="15.75" customHeight="1" x14ac:dyDescent="0.25">
      <c r="A759" s="2"/>
      <c r="B759" s="2"/>
      <c r="C759" s="2"/>
      <c r="D759" s="2"/>
      <c r="E759" s="1"/>
    </row>
    <row r="760" spans="1:5" ht="15.75" customHeight="1" x14ac:dyDescent="0.25">
      <c r="A760" s="2"/>
      <c r="B760" s="2"/>
      <c r="C760" s="2"/>
      <c r="D760" s="2"/>
      <c r="E760" s="1"/>
    </row>
    <row r="761" spans="1:5" ht="15.75" customHeight="1" x14ac:dyDescent="0.25">
      <c r="A761" s="2"/>
      <c r="B761" s="2"/>
      <c r="C761" s="2"/>
      <c r="D761" s="2"/>
      <c r="E761" s="1"/>
    </row>
    <row r="762" spans="1:5" ht="15.75" customHeight="1" x14ac:dyDescent="0.25">
      <c r="A762" s="2"/>
      <c r="B762" s="2"/>
      <c r="C762" s="2"/>
      <c r="D762" s="2"/>
      <c r="E762" s="1"/>
    </row>
    <row r="763" spans="1:5" ht="15.75" customHeight="1" x14ac:dyDescent="0.25">
      <c r="A763" s="2"/>
      <c r="B763" s="2"/>
      <c r="C763" s="2"/>
      <c r="D763" s="2"/>
      <c r="E763" s="1"/>
    </row>
    <row r="764" spans="1:5" ht="15.75" customHeight="1" x14ac:dyDescent="0.25">
      <c r="A764" s="2"/>
      <c r="B764" s="2"/>
      <c r="C764" s="2"/>
      <c r="D764" s="2"/>
      <c r="E764" s="1"/>
    </row>
    <row r="765" spans="1:5" ht="15.75" customHeight="1" x14ac:dyDescent="0.25">
      <c r="A765" s="2"/>
      <c r="B765" s="2"/>
      <c r="C765" s="2"/>
      <c r="D765" s="2"/>
      <c r="E765" s="1"/>
    </row>
    <row r="766" spans="1:5" ht="15.75" customHeight="1" x14ac:dyDescent="0.25">
      <c r="A766" s="2"/>
      <c r="B766" s="2"/>
      <c r="C766" s="2"/>
      <c r="D766" s="2"/>
      <c r="E766" s="1"/>
    </row>
    <row r="767" spans="1:5" ht="15.75" customHeight="1" x14ac:dyDescent="0.25">
      <c r="A767" s="2"/>
      <c r="B767" s="2"/>
      <c r="C767" s="2"/>
      <c r="D767" s="2"/>
      <c r="E767" s="1"/>
    </row>
    <row r="768" spans="1:5" ht="15.75" customHeight="1" x14ac:dyDescent="0.25">
      <c r="A768" s="2"/>
      <c r="B768" s="2"/>
      <c r="C768" s="2"/>
      <c r="D768" s="2"/>
      <c r="E768" s="1"/>
    </row>
    <row r="769" spans="1:5" ht="15.75" customHeight="1" x14ac:dyDescent="0.25">
      <c r="A769" s="2"/>
      <c r="B769" s="2"/>
      <c r="C769" s="2"/>
      <c r="D769" s="2"/>
      <c r="E769" s="1"/>
    </row>
    <row r="770" spans="1:5" ht="15.75" customHeight="1" x14ac:dyDescent="0.25">
      <c r="A770" s="2"/>
      <c r="B770" s="2"/>
      <c r="C770" s="2"/>
      <c r="D770" s="2"/>
      <c r="E770" s="1"/>
    </row>
    <row r="771" spans="1:5" ht="15.75" customHeight="1" x14ac:dyDescent="0.25">
      <c r="A771" s="2"/>
      <c r="B771" s="2"/>
      <c r="C771" s="2"/>
      <c r="D771" s="2"/>
      <c r="E771" s="1"/>
    </row>
    <row r="772" spans="1:5" ht="15.75" customHeight="1" x14ac:dyDescent="0.25">
      <c r="A772" s="2"/>
      <c r="B772" s="2"/>
      <c r="C772" s="2"/>
      <c r="D772" s="2"/>
      <c r="E772" s="1"/>
    </row>
    <row r="773" spans="1:5" ht="15.75" customHeight="1" x14ac:dyDescent="0.25">
      <c r="A773" s="2"/>
      <c r="B773" s="2"/>
      <c r="C773" s="2"/>
      <c r="D773" s="2"/>
      <c r="E773" s="1"/>
    </row>
    <row r="774" spans="1:5" ht="15.75" customHeight="1" x14ac:dyDescent="0.25">
      <c r="A774" s="2"/>
      <c r="B774" s="2"/>
      <c r="C774" s="2"/>
      <c r="D774" s="2"/>
      <c r="E774" s="1"/>
    </row>
    <row r="775" spans="1:5" ht="15.75" customHeight="1" x14ac:dyDescent="0.25">
      <c r="A775" s="2"/>
      <c r="B775" s="2"/>
      <c r="C775" s="2"/>
      <c r="D775" s="2"/>
      <c r="E775" s="1"/>
    </row>
    <row r="776" spans="1:5" ht="15.75" customHeight="1" x14ac:dyDescent="0.25">
      <c r="A776" s="2"/>
      <c r="B776" s="2"/>
      <c r="C776" s="2"/>
      <c r="D776" s="2"/>
      <c r="E776" s="1"/>
    </row>
    <row r="777" spans="1:5" ht="15.75" customHeight="1" x14ac:dyDescent="0.25">
      <c r="A777" s="2"/>
      <c r="B777" s="2"/>
      <c r="C777" s="2"/>
      <c r="D777" s="2"/>
      <c r="E777" s="1"/>
    </row>
    <row r="778" spans="1:5" ht="15.75" customHeight="1" x14ac:dyDescent="0.25">
      <c r="A778" s="2"/>
      <c r="B778" s="2"/>
      <c r="C778" s="2"/>
      <c r="D778" s="2"/>
      <c r="E778" s="1"/>
    </row>
    <row r="779" spans="1:5" ht="15.75" customHeight="1" x14ac:dyDescent="0.25">
      <c r="A779" s="2"/>
      <c r="B779" s="2"/>
      <c r="C779" s="2"/>
      <c r="D779" s="2"/>
      <c r="E779" s="1"/>
    </row>
    <row r="780" spans="1:5" ht="15.75" customHeight="1" x14ac:dyDescent="0.25">
      <c r="A780" s="2"/>
      <c r="B780" s="2"/>
      <c r="C780" s="2"/>
      <c r="D780" s="2"/>
      <c r="E780" s="1"/>
    </row>
    <row r="781" spans="1:5" ht="15.75" customHeight="1" x14ac:dyDescent="0.25">
      <c r="A781" s="2"/>
      <c r="B781" s="2"/>
      <c r="C781" s="2"/>
      <c r="D781" s="2"/>
      <c r="E781" s="1"/>
    </row>
    <row r="782" spans="1:5" ht="15.75" customHeight="1" x14ac:dyDescent="0.25">
      <c r="A782" s="2"/>
      <c r="B782" s="2"/>
      <c r="C782" s="2"/>
      <c r="D782" s="2"/>
      <c r="E782" s="1"/>
    </row>
    <row r="783" spans="1:5" ht="15.75" customHeight="1" x14ac:dyDescent="0.25">
      <c r="A783" s="2"/>
      <c r="B783" s="2"/>
      <c r="C783" s="2"/>
      <c r="D783" s="2"/>
      <c r="E783" s="1"/>
    </row>
    <row r="784" spans="1:5" ht="15.75" customHeight="1" x14ac:dyDescent="0.25">
      <c r="A784" s="2"/>
      <c r="B784" s="2"/>
      <c r="C784" s="2"/>
      <c r="D784" s="2"/>
      <c r="E784" s="1"/>
    </row>
    <row r="785" spans="1:5" ht="15.75" customHeight="1" x14ac:dyDescent="0.25">
      <c r="A785" s="2"/>
      <c r="B785" s="2"/>
      <c r="C785" s="2"/>
      <c r="D785" s="2"/>
      <c r="E785" s="1"/>
    </row>
    <row r="786" spans="1:5" ht="15.75" customHeight="1" x14ac:dyDescent="0.25">
      <c r="A786" s="2"/>
      <c r="B786" s="2"/>
      <c r="C786" s="2"/>
      <c r="D786" s="2"/>
      <c r="E786" s="1"/>
    </row>
    <row r="787" spans="1:5" ht="15.75" customHeight="1" x14ac:dyDescent="0.25">
      <c r="A787" s="2"/>
      <c r="B787" s="2"/>
      <c r="C787" s="2"/>
      <c r="D787" s="2"/>
      <c r="E787" s="1"/>
    </row>
    <row r="788" spans="1:5" ht="15.75" customHeight="1" x14ac:dyDescent="0.25">
      <c r="A788" s="2"/>
      <c r="B788" s="2"/>
      <c r="C788" s="2"/>
      <c r="D788" s="2"/>
      <c r="E788" s="1"/>
    </row>
    <row r="789" spans="1:5" ht="15.75" customHeight="1" x14ac:dyDescent="0.25">
      <c r="A789" s="2"/>
      <c r="B789" s="2"/>
      <c r="C789" s="2"/>
      <c r="D789" s="2"/>
      <c r="E789" s="1"/>
    </row>
    <row r="790" spans="1:5" ht="15.75" customHeight="1" x14ac:dyDescent="0.25">
      <c r="A790" s="2"/>
      <c r="B790" s="2"/>
      <c r="C790" s="2"/>
      <c r="D790" s="2"/>
      <c r="E790" s="1"/>
    </row>
    <row r="791" spans="1:5" ht="15.75" customHeight="1" x14ac:dyDescent="0.25">
      <c r="A791" s="2"/>
      <c r="B791" s="2"/>
      <c r="C791" s="2"/>
      <c r="D791" s="2"/>
      <c r="E791" s="1"/>
    </row>
    <row r="792" spans="1:5" ht="15.75" customHeight="1" x14ac:dyDescent="0.25">
      <c r="A792" s="2"/>
      <c r="B792" s="2"/>
      <c r="C792" s="2"/>
      <c r="D792" s="2"/>
      <c r="E792" s="1"/>
    </row>
    <row r="793" spans="1:5" ht="15.75" customHeight="1" x14ac:dyDescent="0.25">
      <c r="A793" s="2"/>
      <c r="B793" s="2"/>
      <c r="C793" s="2"/>
      <c r="D793" s="2"/>
      <c r="E793" s="1"/>
    </row>
    <row r="794" spans="1:5" ht="15.75" customHeight="1" x14ac:dyDescent="0.25">
      <c r="A794" s="2"/>
      <c r="B794" s="2"/>
      <c r="C794" s="2"/>
      <c r="D794" s="2"/>
      <c r="E794" s="1"/>
    </row>
    <row r="795" spans="1:5" ht="15.75" customHeight="1" x14ac:dyDescent="0.25">
      <c r="A795" s="2"/>
      <c r="B795" s="2"/>
      <c r="C795" s="2"/>
      <c r="D795" s="2"/>
      <c r="E795" s="1"/>
    </row>
    <row r="796" spans="1:5" ht="15.75" customHeight="1" x14ac:dyDescent="0.25">
      <c r="A796" s="2"/>
      <c r="B796" s="2"/>
      <c r="C796" s="2"/>
      <c r="D796" s="2"/>
      <c r="E796" s="1"/>
    </row>
    <row r="797" spans="1:5" ht="15.75" customHeight="1" x14ac:dyDescent="0.25">
      <c r="A797" s="2"/>
      <c r="B797" s="2"/>
      <c r="C797" s="2"/>
      <c r="D797" s="2"/>
      <c r="E797" s="1"/>
    </row>
    <row r="798" spans="1:5" ht="15.75" customHeight="1" x14ac:dyDescent="0.25">
      <c r="A798" s="2"/>
      <c r="B798" s="2"/>
      <c r="C798" s="2"/>
      <c r="D798" s="2"/>
      <c r="E798" s="1"/>
    </row>
    <row r="799" spans="1:5" ht="15.75" customHeight="1" x14ac:dyDescent="0.25">
      <c r="A799" s="2"/>
      <c r="B799" s="2"/>
      <c r="C799" s="2"/>
      <c r="D799" s="2"/>
      <c r="E799" s="1"/>
    </row>
    <row r="800" spans="1:5" ht="15.75" customHeight="1" x14ac:dyDescent="0.25">
      <c r="A800" s="2"/>
      <c r="B800" s="2"/>
      <c r="C800" s="2"/>
      <c r="D800" s="2"/>
      <c r="E800" s="1"/>
    </row>
    <row r="801" spans="1:5" ht="15.75" customHeight="1" x14ac:dyDescent="0.25">
      <c r="A801" s="2"/>
      <c r="B801" s="2"/>
      <c r="C801" s="2"/>
      <c r="D801" s="2"/>
      <c r="E801" s="1"/>
    </row>
    <row r="802" spans="1:5" ht="15.75" customHeight="1" x14ac:dyDescent="0.25">
      <c r="A802" s="2"/>
      <c r="B802" s="2"/>
      <c r="C802" s="2"/>
      <c r="D802" s="2"/>
      <c r="E802" s="1"/>
    </row>
    <row r="803" spans="1:5" ht="15.75" customHeight="1" x14ac:dyDescent="0.25">
      <c r="A803" s="2"/>
      <c r="B803" s="2"/>
      <c r="C803" s="2"/>
      <c r="D803" s="2"/>
      <c r="E803" s="1"/>
    </row>
    <row r="804" spans="1:5" ht="15.75" customHeight="1" x14ac:dyDescent="0.25">
      <c r="A804" s="2"/>
      <c r="B804" s="2"/>
      <c r="C804" s="2"/>
      <c r="D804" s="2"/>
      <c r="E804" s="1"/>
    </row>
    <row r="805" spans="1:5" ht="15.75" customHeight="1" x14ac:dyDescent="0.25">
      <c r="A805" s="2"/>
      <c r="B805" s="2"/>
      <c r="C805" s="2"/>
      <c r="D805" s="2"/>
      <c r="E805" s="1"/>
    </row>
    <row r="806" spans="1:5" ht="15.75" customHeight="1" x14ac:dyDescent="0.25">
      <c r="A806" s="2"/>
      <c r="B806" s="2"/>
      <c r="C806" s="2"/>
      <c r="D806" s="2"/>
      <c r="E806" s="1"/>
    </row>
    <row r="807" spans="1:5" ht="15.75" customHeight="1" x14ac:dyDescent="0.25">
      <c r="A807" s="2"/>
      <c r="B807" s="2"/>
      <c r="C807" s="2"/>
      <c r="D807" s="2"/>
      <c r="E807" s="1"/>
    </row>
    <row r="808" spans="1:5" ht="15.75" customHeight="1" x14ac:dyDescent="0.25">
      <c r="A808" s="2"/>
      <c r="B808" s="2"/>
      <c r="C808" s="2"/>
      <c r="D808" s="2"/>
      <c r="E808" s="1"/>
    </row>
    <row r="809" spans="1:5" ht="15.75" customHeight="1" x14ac:dyDescent="0.25">
      <c r="A809" s="2"/>
      <c r="B809" s="2"/>
      <c r="C809" s="2"/>
      <c r="D809" s="2"/>
      <c r="E809" s="1"/>
    </row>
    <row r="810" spans="1:5" ht="15.75" customHeight="1" x14ac:dyDescent="0.25">
      <c r="A810" s="2"/>
      <c r="B810" s="2"/>
      <c r="C810" s="2"/>
      <c r="D810" s="2"/>
      <c r="E810" s="1"/>
    </row>
    <row r="811" spans="1:5" ht="15.75" customHeight="1" x14ac:dyDescent="0.25">
      <c r="A811" s="2"/>
      <c r="B811" s="2"/>
      <c r="C811" s="2"/>
      <c r="D811" s="2"/>
      <c r="E811" s="1"/>
    </row>
    <row r="812" spans="1:5" ht="15.75" customHeight="1" x14ac:dyDescent="0.25">
      <c r="A812" s="2"/>
      <c r="B812" s="2"/>
      <c r="C812" s="2"/>
      <c r="D812" s="2"/>
      <c r="E812" s="1"/>
    </row>
    <row r="813" spans="1:5" ht="15.75" customHeight="1" x14ac:dyDescent="0.25">
      <c r="A813" s="2"/>
      <c r="B813" s="2"/>
      <c r="C813" s="2"/>
      <c r="D813" s="2"/>
      <c r="E813" s="1"/>
    </row>
    <row r="814" spans="1:5" ht="15.75" customHeight="1" x14ac:dyDescent="0.25">
      <c r="A814" s="2"/>
      <c r="B814" s="2"/>
      <c r="C814" s="2"/>
      <c r="D814" s="2"/>
      <c r="E814" s="1"/>
    </row>
    <row r="815" spans="1:5" ht="15.75" customHeight="1" x14ac:dyDescent="0.25">
      <c r="A815" s="2"/>
      <c r="B815" s="2"/>
      <c r="C815" s="2"/>
      <c r="D815" s="2"/>
      <c r="E815" s="1"/>
    </row>
    <row r="816" spans="1:5" ht="15.75" customHeight="1" x14ac:dyDescent="0.25">
      <c r="A816" s="2"/>
      <c r="B816" s="2"/>
      <c r="C816" s="2"/>
      <c r="D816" s="2"/>
      <c r="E816" s="1"/>
    </row>
    <row r="817" spans="1:5" ht="15.75" customHeight="1" x14ac:dyDescent="0.25">
      <c r="A817" s="2"/>
      <c r="B817" s="2"/>
      <c r="C817" s="2"/>
      <c r="D817" s="2"/>
      <c r="E817" s="1"/>
    </row>
    <row r="818" spans="1:5" ht="15.75" customHeight="1" x14ac:dyDescent="0.25">
      <c r="A818" s="2"/>
      <c r="B818" s="2"/>
      <c r="C818" s="2"/>
      <c r="D818" s="2"/>
      <c r="E818" s="1"/>
    </row>
    <row r="819" spans="1:5" ht="15.75" customHeight="1" x14ac:dyDescent="0.25">
      <c r="A819" s="2"/>
      <c r="B819" s="2"/>
      <c r="C819" s="2"/>
      <c r="D819" s="2"/>
      <c r="E819" s="1"/>
    </row>
    <row r="820" spans="1:5" ht="15.75" customHeight="1" x14ac:dyDescent="0.25">
      <c r="A820" s="2"/>
      <c r="B820" s="2"/>
      <c r="C820" s="2"/>
      <c r="D820" s="2"/>
      <c r="E820" s="1"/>
    </row>
    <row r="821" spans="1:5" ht="15.75" customHeight="1" x14ac:dyDescent="0.25">
      <c r="A821" s="2"/>
      <c r="B821" s="2"/>
      <c r="C821" s="2"/>
      <c r="D821" s="2"/>
      <c r="E821" s="1"/>
    </row>
    <row r="822" spans="1:5" ht="15.75" customHeight="1" x14ac:dyDescent="0.25">
      <c r="A822" s="2"/>
      <c r="B822" s="2"/>
      <c r="C822" s="2"/>
      <c r="D822" s="2"/>
      <c r="E822" s="1"/>
    </row>
    <row r="823" spans="1:5" ht="15.75" customHeight="1" x14ac:dyDescent="0.25">
      <c r="A823" s="2"/>
      <c r="B823" s="2"/>
      <c r="C823" s="2"/>
      <c r="D823" s="2"/>
      <c r="E823" s="1"/>
    </row>
    <row r="824" spans="1:5" ht="15.75" customHeight="1" x14ac:dyDescent="0.25">
      <c r="A824" s="2"/>
      <c r="B824" s="2"/>
      <c r="C824" s="2"/>
      <c r="D824" s="2"/>
      <c r="E824" s="1"/>
    </row>
    <row r="825" spans="1:5" ht="15.75" customHeight="1" x14ac:dyDescent="0.25">
      <c r="A825" s="2"/>
      <c r="B825" s="2"/>
      <c r="C825" s="2"/>
      <c r="D825" s="2"/>
      <c r="E825" s="1"/>
    </row>
    <row r="826" spans="1:5" ht="15.75" customHeight="1" x14ac:dyDescent="0.25">
      <c r="A826" s="2"/>
      <c r="B826" s="2"/>
      <c r="C826" s="2"/>
      <c r="D826" s="2"/>
      <c r="E826" s="1"/>
    </row>
    <row r="827" spans="1:5" ht="15.75" customHeight="1" x14ac:dyDescent="0.25">
      <c r="A827" s="2"/>
      <c r="B827" s="2"/>
      <c r="C827" s="2"/>
      <c r="D827" s="2"/>
      <c r="E827" s="1"/>
    </row>
    <row r="828" spans="1:5" ht="15.75" customHeight="1" x14ac:dyDescent="0.25">
      <c r="A828" s="2"/>
      <c r="B828" s="2"/>
      <c r="C828" s="2"/>
      <c r="D828" s="2"/>
      <c r="E828" s="1"/>
    </row>
    <row r="829" spans="1:5" ht="15.75" customHeight="1" x14ac:dyDescent="0.25">
      <c r="A829" s="2"/>
      <c r="B829" s="2"/>
      <c r="C829" s="2"/>
      <c r="D829" s="2"/>
      <c r="E829" s="1"/>
    </row>
    <row r="830" spans="1:5" ht="15.75" customHeight="1" x14ac:dyDescent="0.25">
      <c r="A830" s="2"/>
      <c r="B830" s="2"/>
      <c r="C830" s="2"/>
      <c r="D830" s="2"/>
      <c r="E830" s="1"/>
    </row>
    <row r="831" spans="1:5" ht="15.75" customHeight="1" x14ac:dyDescent="0.25">
      <c r="A831" s="2"/>
      <c r="B831" s="2"/>
      <c r="C831" s="2"/>
      <c r="D831" s="2"/>
      <c r="E831" s="1"/>
    </row>
    <row r="832" spans="1:5" ht="15.75" customHeight="1" x14ac:dyDescent="0.25">
      <c r="A832" s="2"/>
      <c r="B832" s="2"/>
      <c r="C832" s="2"/>
      <c r="D832" s="2"/>
      <c r="E832" s="1"/>
    </row>
    <row r="833" spans="1:5" ht="15.75" customHeight="1" x14ac:dyDescent="0.25">
      <c r="A833" s="2"/>
      <c r="B833" s="2"/>
      <c r="C833" s="2"/>
      <c r="D833" s="2"/>
      <c r="E833" s="1"/>
    </row>
    <row r="834" spans="1:5" ht="15.75" customHeight="1" x14ac:dyDescent="0.25">
      <c r="A834" s="2"/>
      <c r="B834" s="2"/>
      <c r="C834" s="2"/>
      <c r="D834" s="2"/>
      <c r="E834" s="1"/>
    </row>
    <row r="835" spans="1:5" ht="15.75" customHeight="1" x14ac:dyDescent="0.25">
      <c r="A835" s="2"/>
      <c r="B835" s="2"/>
      <c r="C835" s="2"/>
      <c r="D835" s="2"/>
      <c r="E835" s="1"/>
    </row>
    <row r="836" spans="1:5" ht="15.75" customHeight="1" x14ac:dyDescent="0.25">
      <c r="A836" s="2"/>
      <c r="B836" s="2"/>
      <c r="C836" s="2"/>
      <c r="D836" s="2"/>
      <c r="E836" s="1"/>
    </row>
    <row r="837" spans="1:5" ht="15.75" customHeight="1" x14ac:dyDescent="0.25">
      <c r="A837" s="2"/>
      <c r="B837" s="2"/>
      <c r="C837" s="2"/>
      <c r="D837" s="2"/>
      <c r="E837" s="1"/>
    </row>
    <row r="838" spans="1:5" ht="15.75" customHeight="1" x14ac:dyDescent="0.25">
      <c r="A838" s="2"/>
      <c r="B838" s="2"/>
      <c r="C838" s="2"/>
      <c r="D838" s="2"/>
      <c r="E838" s="1"/>
    </row>
    <row r="839" spans="1:5" ht="15.75" customHeight="1" x14ac:dyDescent="0.25">
      <c r="A839" s="2"/>
      <c r="B839" s="2"/>
      <c r="C839" s="2"/>
      <c r="D839" s="2"/>
      <c r="E839" s="1"/>
    </row>
    <row r="840" spans="1:5" ht="15.75" customHeight="1" x14ac:dyDescent="0.25">
      <c r="A840" s="2"/>
      <c r="B840" s="2"/>
      <c r="C840" s="2"/>
      <c r="D840" s="2"/>
      <c r="E840" s="1"/>
    </row>
    <row r="841" spans="1:5" ht="15.75" customHeight="1" x14ac:dyDescent="0.25">
      <c r="A841" s="2"/>
      <c r="B841" s="2"/>
      <c r="C841" s="2"/>
      <c r="D841" s="2"/>
      <c r="E841" s="1"/>
    </row>
    <row r="842" spans="1:5" ht="15.75" customHeight="1" x14ac:dyDescent="0.25">
      <c r="A842" s="2"/>
      <c r="B842" s="2"/>
      <c r="C842" s="2"/>
      <c r="D842" s="2"/>
      <c r="E842" s="1"/>
    </row>
    <row r="843" spans="1:5" ht="15.75" customHeight="1" x14ac:dyDescent="0.25">
      <c r="A843" s="2"/>
      <c r="B843" s="2"/>
      <c r="C843" s="2"/>
      <c r="D843" s="2"/>
      <c r="E843" s="1"/>
    </row>
    <row r="844" spans="1:5" ht="15.75" customHeight="1" x14ac:dyDescent="0.25">
      <c r="A844" s="2"/>
      <c r="B844" s="2"/>
      <c r="C844" s="2"/>
      <c r="D844" s="2"/>
      <c r="E844" s="1"/>
    </row>
    <row r="845" spans="1:5" ht="15.75" customHeight="1" x14ac:dyDescent="0.25">
      <c r="A845" s="2"/>
      <c r="B845" s="2"/>
      <c r="C845" s="2"/>
      <c r="D845" s="2"/>
      <c r="E845" s="1"/>
    </row>
    <row r="846" spans="1:5" ht="15.75" customHeight="1" x14ac:dyDescent="0.25">
      <c r="A846" s="2"/>
      <c r="B846" s="2"/>
      <c r="C846" s="2"/>
      <c r="D846" s="2"/>
      <c r="E846" s="1"/>
    </row>
    <row r="847" spans="1:5" ht="15.75" customHeight="1" x14ac:dyDescent="0.25">
      <c r="A847" s="2"/>
      <c r="B847" s="2"/>
      <c r="C847" s="2"/>
      <c r="D847" s="2"/>
      <c r="E847" s="1"/>
    </row>
    <row r="848" spans="1:5" ht="15.75" customHeight="1" x14ac:dyDescent="0.25">
      <c r="A848" s="2"/>
      <c r="B848" s="2"/>
      <c r="C848" s="2"/>
      <c r="D848" s="2"/>
      <c r="E848" s="1"/>
    </row>
    <row r="849" spans="1:5" ht="15.75" customHeight="1" x14ac:dyDescent="0.25">
      <c r="A849" s="2"/>
      <c r="B849" s="2"/>
      <c r="C849" s="2"/>
      <c r="D849" s="2"/>
      <c r="E849" s="1"/>
    </row>
    <row r="850" spans="1:5" ht="15.75" customHeight="1" x14ac:dyDescent="0.25">
      <c r="A850" s="2"/>
      <c r="B850" s="2"/>
      <c r="C850" s="2"/>
      <c r="D850" s="2"/>
      <c r="E850" s="1"/>
    </row>
    <row r="851" spans="1:5" ht="15.75" customHeight="1" x14ac:dyDescent="0.25">
      <c r="A851" s="2"/>
      <c r="B851" s="2"/>
      <c r="C851" s="2"/>
      <c r="D851" s="2"/>
      <c r="E851" s="1"/>
    </row>
    <row r="852" spans="1:5" ht="15.75" customHeight="1" x14ac:dyDescent="0.25">
      <c r="A852" s="2"/>
      <c r="B852" s="2"/>
      <c r="C852" s="2"/>
      <c r="D852" s="2"/>
      <c r="E852" s="1"/>
    </row>
    <row r="853" spans="1:5" ht="15.75" customHeight="1" x14ac:dyDescent="0.25">
      <c r="A853" s="2"/>
      <c r="B853" s="2"/>
      <c r="C853" s="2"/>
      <c r="D853" s="2"/>
      <c r="E853" s="1"/>
    </row>
    <row r="854" spans="1:5" ht="15.75" customHeight="1" x14ac:dyDescent="0.25">
      <c r="A854" s="2"/>
      <c r="B854" s="2"/>
      <c r="C854" s="2"/>
      <c r="D854" s="2"/>
      <c r="E854" s="1"/>
    </row>
    <row r="855" spans="1:5" ht="15.75" customHeight="1" x14ac:dyDescent="0.25">
      <c r="A855" s="2"/>
      <c r="B855" s="2"/>
      <c r="C855" s="2"/>
      <c r="D855" s="2"/>
      <c r="E855" s="1"/>
    </row>
    <row r="856" spans="1:5" ht="15.75" customHeight="1" x14ac:dyDescent="0.25">
      <c r="A856" s="2"/>
      <c r="B856" s="2"/>
      <c r="C856" s="2"/>
      <c r="D856" s="2"/>
      <c r="E856" s="1"/>
    </row>
    <row r="857" spans="1:5" ht="15.75" customHeight="1" x14ac:dyDescent="0.25">
      <c r="A857" s="2"/>
      <c r="B857" s="2"/>
      <c r="C857" s="2"/>
      <c r="D857" s="2"/>
      <c r="E857" s="1"/>
    </row>
    <row r="858" spans="1:5" ht="15.75" customHeight="1" x14ac:dyDescent="0.25">
      <c r="A858" s="2"/>
      <c r="B858" s="2"/>
      <c r="C858" s="2"/>
      <c r="D858" s="2"/>
      <c r="E858" s="1"/>
    </row>
    <row r="859" spans="1:5" ht="15.75" customHeight="1" x14ac:dyDescent="0.25">
      <c r="A859" s="2"/>
      <c r="B859" s="2"/>
      <c r="C859" s="2"/>
      <c r="D859" s="2"/>
      <c r="E859" s="1"/>
    </row>
    <row r="860" spans="1:5" ht="15.75" customHeight="1" x14ac:dyDescent="0.25">
      <c r="A860" s="2"/>
      <c r="B860" s="2"/>
      <c r="C860" s="2"/>
      <c r="D860" s="2"/>
      <c r="E860" s="1"/>
    </row>
    <row r="861" spans="1:5" ht="15.75" customHeight="1" x14ac:dyDescent="0.25">
      <c r="A861" s="2"/>
      <c r="B861" s="2"/>
      <c r="C861" s="2"/>
      <c r="D861" s="2"/>
      <c r="E861" s="1"/>
    </row>
    <row r="862" spans="1:5" ht="15.75" customHeight="1" x14ac:dyDescent="0.25">
      <c r="A862" s="2"/>
      <c r="B862" s="2"/>
      <c r="C862" s="2"/>
      <c r="D862" s="2"/>
      <c r="E862" s="1"/>
    </row>
    <row r="863" spans="1:5" ht="15.75" customHeight="1" x14ac:dyDescent="0.25">
      <c r="A863" s="2"/>
      <c r="B863" s="2"/>
      <c r="C863" s="2"/>
      <c r="D863" s="2"/>
      <c r="E863" s="1"/>
    </row>
    <row r="864" spans="1:5" ht="15.75" customHeight="1" x14ac:dyDescent="0.25">
      <c r="A864" s="2"/>
      <c r="B864" s="2"/>
      <c r="C864" s="2"/>
      <c r="D864" s="2"/>
      <c r="E864" s="1"/>
    </row>
    <row r="865" spans="1:5" ht="15.75" customHeight="1" x14ac:dyDescent="0.25">
      <c r="A865" s="2"/>
      <c r="B865" s="2"/>
      <c r="C865" s="2"/>
      <c r="D865" s="2"/>
      <c r="E865" s="1"/>
    </row>
    <row r="866" spans="1:5" ht="15.75" customHeight="1" x14ac:dyDescent="0.25">
      <c r="A866" s="2"/>
      <c r="B866" s="2"/>
      <c r="C866" s="2"/>
      <c r="D866" s="2"/>
      <c r="E866" s="1"/>
    </row>
    <row r="867" spans="1:5" ht="15.75" customHeight="1" x14ac:dyDescent="0.25">
      <c r="A867" s="2"/>
      <c r="B867" s="2"/>
      <c r="C867" s="2"/>
      <c r="D867" s="2"/>
      <c r="E867" s="1"/>
    </row>
    <row r="868" spans="1:5" ht="15.75" customHeight="1" x14ac:dyDescent="0.25">
      <c r="A868" s="2"/>
      <c r="B868" s="2"/>
      <c r="C868" s="2"/>
      <c r="D868" s="2"/>
      <c r="E868" s="1"/>
    </row>
    <row r="869" spans="1:5" ht="15.75" customHeight="1" x14ac:dyDescent="0.25">
      <c r="A869" s="2"/>
      <c r="B869" s="2"/>
      <c r="C869" s="2"/>
      <c r="D869" s="2"/>
      <c r="E869" s="1"/>
    </row>
    <row r="870" spans="1:5" ht="15.75" customHeight="1" x14ac:dyDescent="0.25">
      <c r="A870" s="2"/>
      <c r="B870" s="2"/>
      <c r="C870" s="2"/>
      <c r="D870" s="2"/>
      <c r="E870" s="1"/>
    </row>
    <row r="871" spans="1:5" ht="15.75" customHeight="1" x14ac:dyDescent="0.25">
      <c r="A871" s="2"/>
      <c r="B871" s="2"/>
      <c r="C871" s="2"/>
      <c r="D871" s="2"/>
      <c r="E871" s="1"/>
    </row>
    <row r="872" spans="1:5" ht="15.75" customHeight="1" x14ac:dyDescent="0.25">
      <c r="A872" s="2"/>
      <c r="B872" s="2"/>
      <c r="C872" s="2"/>
      <c r="D872" s="2"/>
      <c r="E872" s="1"/>
    </row>
    <row r="873" spans="1:5" ht="15.75" customHeight="1" x14ac:dyDescent="0.25">
      <c r="A873" s="2"/>
      <c r="B873" s="2"/>
      <c r="C873" s="2"/>
      <c r="D873" s="2"/>
      <c r="E873" s="1"/>
    </row>
    <row r="874" spans="1:5" ht="15.75" customHeight="1" x14ac:dyDescent="0.25">
      <c r="A874" s="2"/>
      <c r="B874" s="2"/>
      <c r="C874" s="2"/>
      <c r="D874" s="2"/>
      <c r="E874" s="1"/>
    </row>
    <row r="875" spans="1:5" ht="15.75" customHeight="1" x14ac:dyDescent="0.25">
      <c r="A875" s="2"/>
      <c r="B875" s="2"/>
      <c r="C875" s="2"/>
      <c r="D875" s="2"/>
      <c r="E875" s="1"/>
    </row>
    <row r="876" spans="1:5" ht="15.75" customHeight="1" x14ac:dyDescent="0.25">
      <c r="A876" s="2"/>
      <c r="B876" s="2"/>
      <c r="C876" s="2"/>
      <c r="D876" s="2"/>
      <c r="E876" s="1"/>
    </row>
    <row r="877" spans="1:5" ht="15.75" customHeight="1" x14ac:dyDescent="0.25">
      <c r="A877" s="2"/>
      <c r="B877" s="2"/>
      <c r="C877" s="2"/>
      <c r="D877" s="2"/>
      <c r="E877" s="1"/>
    </row>
    <row r="878" spans="1:5" ht="15.75" customHeight="1" x14ac:dyDescent="0.25">
      <c r="A878" s="2"/>
      <c r="B878" s="2"/>
      <c r="C878" s="2"/>
      <c r="D878" s="2"/>
      <c r="E878" s="1"/>
    </row>
    <row r="879" spans="1:5" ht="15.75" customHeight="1" x14ac:dyDescent="0.25">
      <c r="A879" s="2"/>
      <c r="B879" s="2"/>
      <c r="C879" s="2"/>
      <c r="D879" s="2"/>
      <c r="E879" s="1"/>
    </row>
    <row r="880" spans="1:5" ht="15.75" customHeight="1" x14ac:dyDescent="0.25">
      <c r="A880" s="2"/>
      <c r="B880" s="2"/>
      <c r="C880" s="2"/>
      <c r="D880" s="2"/>
      <c r="E880" s="1"/>
    </row>
    <row r="881" spans="1:5" ht="15.75" customHeight="1" x14ac:dyDescent="0.25">
      <c r="A881" s="2"/>
      <c r="B881" s="2"/>
      <c r="C881" s="2"/>
      <c r="D881" s="2"/>
      <c r="E881" s="1"/>
    </row>
    <row r="882" spans="1:5" ht="15.75" customHeight="1" x14ac:dyDescent="0.25">
      <c r="A882" s="2"/>
      <c r="B882" s="2"/>
      <c r="C882" s="2"/>
      <c r="D882" s="2"/>
      <c r="E882" s="1"/>
    </row>
    <row r="883" spans="1:5" ht="15.75" customHeight="1" x14ac:dyDescent="0.25">
      <c r="A883" s="2"/>
      <c r="B883" s="2"/>
      <c r="C883" s="2"/>
      <c r="D883" s="2"/>
      <c r="E883" s="1"/>
    </row>
    <row r="884" spans="1:5" ht="15.75" customHeight="1" x14ac:dyDescent="0.25">
      <c r="A884" s="2"/>
      <c r="B884" s="2"/>
      <c r="C884" s="2"/>
      <c r="D884" s="2"/>
      <c r="E884" s="1"/>
    </row>
    <row r="885" spans="1:5" ht="15.75" customHeight="1" x14ac:dyDescent="0.25">
      <c r="A885" s="2"/>
      <c r="B885" s="2"/>
      <c r="C885" s="2"/>
      <c r="D885" s="2"/>
      <c r="E885" s="1"/>
    </row>
    <row r="886" spans="1:5" ht="15.75" customHeight="1" x14ac:dyDescent="0.25">
      <c r="A886" s="2"/>
      <c r="B886" s="2"/>
      <c r="C886" s="2"/>
      <c r="D886" s="2"/>
      <c r="E886" s="1"/>
    </row>
    <row r="887" spans="1:5" ht="15.75" customHeight="1" x14ac:dyDescent="0.25">
      <c r="A887" s="2"/>
      <c r="B887" s="2"/>
      <c r="C887" s="2"/>
      <c r="D887" s="2"/>
      <c r="E887" s="1"/>
    </row>
    <row r="888" spans="1:5" ht="15.75" customHeight="1" x14ac:dyDescent="0.25">
      <c r="A888" s="2"/>
      <c r="B888" s="2"/>
      <c r="C888" s="2"/>
      <c r="D888" s="2"/>
      <c r="E888" s="1"/>
    </row>
    <row r="889" spans="1:5" ht="15.75" customHeight="1" x14ac:dyDescent="0.25">
      <c r="A889" s="2"/>
      <c r="B889" s="2"/>
      <c r="C889" s="2"/>
      <c r="D889" s="2"/>
      <c r="E889" s="1"/>
    </row>
    <row r="890" spans="1:5" ht="15.75" customHeight="1" x14ac:dyDescent="0.25">
      <c r="A890" s="2"/>
      <c r="B890" s="2"/>
      <c r="C890" s="2"/>
      <c r="D890" s="2"/>
      <c r="E890" s="1"/>
    </row>
    <row r="891" spans="1:5" ht="15.75" customHeight="1" x14ac:dyDescent="0.25">
      <c r="A891" s="2"/>
      <c r="B891" s="2"/>
      <c r="C891" s="2"/>
      <c r="D891" s="2"/>
      <c r="E891" s="1"/>
    </row>
    <row r="892" spans="1:5" ht="15.75" customHeight="1" x14ac:dyDescent="0.25">
      <c r="A892" s="2"/>
      <c r="B892" s="2"/>
      <c r="C892" s="2"/>
      <c r="D892" s="2"/>
      <c r="E892" s="1"/>
    </row>
    <row r="893" spans="1:5" ht="15.75" customHeight="1" x14ac:dyDescent="0.25">
      <c r="A893" s="2"/>
      <c r="B893" s="2"/>
      <c r="C893" s="2"/>
      <c r="D893" s="2"/>
      <c r="E893" s="1"/>
    </row>
    <row r="894" spans="1:5" ht="15.75" customHeight="1" x14ac:dyDescent="0.25">
      <c r="A894" s="2"/>
      <c r="B894" s="2"/>
      <c r="C894" s="2"/>
      <c r="D894" s="2"/>
      <c r="E894" s="1"/>
    </row>
    <row r="895" spans="1:5" ht="15.75" customHeight="1" x14ac:dyDescent="0.25">
      <c r="A895" s="2"/>
      <c r="B895" s="2"/>
      <c r="C895" s="2"/>
      <c r="D895" s="2"/>
      <c r="E895" s="1"/>
    </row>
    <row r="896" spans="1:5" ht="15.75" customHeight="1" x14ac:dyDescent="0.25">
      <c r="A896" s="2"/>
      <c r="B896" s="2"/>
      <c r="C896" s="2"/>
      <c r="D896" s="2"/>
      <c r="E896" s="1"/>
    </row>
    <row r="897" spans="1:5" ht="15.75" customHeight="1" x14ac:dyDescent="0.25">
      <c r="A897" s="2"/>
      <c r="B897" s="2"/>
      <c r="C897" s="2"/>
      <c r="D897" s="2"/>
      <c r="E897" s="1"/>
    </row>
    <row r="898" spans="1:5" ht="15.75" customHeight="1" x14ac:dyDescent="0.25">
      <c r="A898" s="2"/>
      <c r="B898" s="2"/>
      <c r="C898" s="2"/>
      <c r="D898" s="2"/>
      <c r="E898" s="1"/>
    </row>
    <row r="899" spans="1:5" ht="15.75" customHeight="1" x14ac:dyDescent="0.25">
      <c r="A899" s="2"/>
      <c r="B899" s="2"/>
      <c r="C899" s="2"/>
      <c r="D899" s="2"/>
      <c r="E899" s="1"/>
    </row>
    <row r="900" spans="1:5" ht="15.75" customHeight="1" x14ac:dyDescent="0.25">
      <c r="A900" s="2"/>
      <c r="B900" s="2"/>
      <c r="C900" s="2"/>
      <c r="D900" s="2"/>
      <c r="E900" s="1"/>
    </row>
    <row r="901" spans="1:5" ht="15.75" customHeight="1" x14ac:dyDescent="0.25">
      <c r="A901" s="2"/>
      <c r="B901" s="2"/>
      <c r="C901" s="2"/>
      <c r="D901" s="2"/>
      <c r="E901" s="1"/>
    </row>
    <row r="902" spans="1:5" ht="15.75" customHeight="1" x14ac:dyDescent="0.25">
      <c r="A902" s="2"/>
      <c r="B902" s="2"/>
      <c r="C902" s="2"/>
      <c r="D902" s="2"/>
      <c r="E902" s="1"/>
    </row>
    <row r="903" spans="1:5" ht="15.75" customHeight="1" x14ac:dyDescent="0.25">
      <c r="A903" s="2"/>
      <c r="B903" s="2"/>
      <c r="C903" s="2"/>
      <c r="D903" s="2"/>
      <c r="E903" s="1"/>
    </row>
    <row r="904" spans="1:5" ht="15.75" customHeight="1" x14ac:dyDescent="0.25">
      <c r="A904" s="2"/>
      <c r="B904" s="2"/>
      <c r="C904" s="2"/>
      <c r="D904" s="2"/>
      <c r="E904" s="1"/>
    </row>
    <row r="905" spans="1:5" ht="15.75" customHeight="1" x14ac:dyDescent="0.25">
      <c r="A905" s="2"/>
      <c r="B905" s="2"/>
      <c r="C905" s="2"/>
      <c r="D905" s="2"/>
      <c r="E905" s="1"/>
    </row>
    <row r="906" spans="1:5" ht="15.75" customHeight="1" x14ac:dyDescent="0.25">
      <c r="A906" s="2"/>
      <c r="B906" s="2"/>
      <c r="C906" s="2"/>
      <c r="D906" s="2"/>
      <c r="E906" s="1"/>
    </row>
    <row r="907" spans="1:5" ht="15.75" customHeight="1" x14ac:dyDescent="0.25">
      <c r="A907" s="2"/>
      <c r="B907" s="2"/>
      <c r="C907" s="2"/>
      <c r="D907" s="2"/>
      <c r="E907" s="1"/>
    </row>
    <row r="908" spans="1:5" ht="15.75" customHeight="1" x14ac:dyDescent="0.25">
      <c r="A908" s="2"/>
      <c r="B908" s="2"/>
      <c r="C908" s="2"/>
      <c r="D908" s="2"/>
      <c r="E908" s="1"/>
    </row>
    <row r="909" spans="1:5" ht="15.75" customHeight="1" x14ac:dyDescent="0.25">
      <c r="A909" s="2"/>
      <c r="B909" s="2"/>
      <c r="C909" s="2"/>
      <c r="D909" s="2"/>
      <c r="E909" s="1"/>
    </row>
    <row r="910" spans="1:5" ht="15.75" customHeight="1" x14ac:dyDescent="0.25">
      <c r="A910" s="2"/>
      <c r="B910" s="2"/>
      <c r="C910" s="2"/>
      <c r="D910" s="2"/>
      <c r="E910" s="1"/>
    </row>
    <row r="911" spans="1:5" ht="15.75" customHeight="1" x14ac:dyDescent="0.25">
      <c r="A911" s="2"/>
      <c r="B911" s="2"/>
      <c r="C911" s="2"/>
      <c r="D911" s="2"/>
      <c r="E911" s="1"/>
    </row>
    <row r="912" spans="1:5" ht="15.75" customHeight="1" x14ac:dyDescent="0.25">
      <c r="A912" s="2"/>
      <c r="B912" s="2"/>
      <c r="C912" s="2"/>
      <c r="D912" s="2"/>
      <c r="E912" s="1"/>
    </row>
    <row r="913" spans="1:5" ht="15.75" customHeight="1" x14ac:dyDescent="0.25">
      <c r="A913" s="2"/>
      <c r="B913" s="2"/>
      <c r="C913" s="2"/>
      <c r="D913" s="2"/>
      <c r="E913" s="1"/>
    </row>
    <row r="914" spans="1:5" ht="15.75" customHeight="1" x14ac:dyDescent="0.25">
      <c r="A914" s="2"/>
      <c r="B914" s="2"/>
      <c r="C914" s="2"/>
      <c r="D914" s="2"/>
      <c r="E914" s="1"/>
    </row>
    <row r="915" spans="1:5" ht="15.75" customHeight="1" x14ac:dyDescent="0.25">
      <c r="A915" s="2"/>
      <c r="B915" s="2"/>
      <c r="C915" s="2"/>
      <c r="D915" s="2"/>
      <c r="E915" s="1"/>
    </row>
    <row r="916" spans="1:5" ht="15.75" customHeight="1" x14ac:dyDescent="0.25">
      <c r="A916" s="2"/>
      <c r="B916" s="2"/>
      <c r="C916" s="2"/>
      <c r="D916" s="2"/>
      <c r="E916" s="1"/>
    </row>
    <row r="917" spans="1:5" ht="15.75" customHeight="1" x14ac:dyDescent="0.25">
      <c r="A917" s="2"/>
      <c r="B917" s="2"/>
      <c r="C917" s="2"/>
      <c r="D917" s="2"/>
      <c r="E917" s="1"/>
    </row>
    <row r="918" spans="1:5" ht="15.75" customHeight="1" x14ac:dyDescent="0.25">
      <c r="A918" s="2"/>
      <c r="B918" s="2"/>
      <c r="C918" s="2"/>
      <c r="D918" s="2"/>
      <c r="E918" s="1"/>
    </row>
    <row r="919" spans="1:5" ht="15.75" customHeight="1" x14ac:dyDescent="0.25">
      <c r="A919" s="2"/>
      <c r="B919" s="2"/>
      <c r="C919" s="2"/>
      <c r="D919" s="2"/>
      <c r="E919" s="1"/>
    </row>
    <row r="920" spans="1:5" ht="15.75" customHeight="1" x14ac:dyDescent="0.25">
      <c r="A920" s="2"/>
      <c r="B920" s="2"/>
      <c r="C920" s="2"/>
      <c r="D920" s="2"/>
      <c r="E920" s="1"/>
    </row>
    <row r="921" spans="1:5" ht="15.75" customHeight="1" x14ac:dyDescent="0.25">
      <c r="A921" s="2"/>
      <c r="B921" s="2"/>
      <c r="C921" s="2"/>
      <c r="D921" s="2"/>
      <c r="E921" s="1"/>
    </row>
    <row r="922" spans="1:5" ht="15.75" customHeight="1" x14ac:dyDescent="0.25">
      <c r="A922" s="2"/>
      <c r="B922" s="2"/>
      <c r="C922" s="2"/>
      <c r="D922" s="2"/>
      <c r="E922" s="1"/>
    </row>
    <row r="923" spans="1:5" ht="15.75" customHeight="1" x14ac:dyDescent="0.25">
      <c r="A923" s="2"/>
      <c r="B923" s="2"/>
      <c r="C923" s="2"/>
      <c r="D923" s="2"/>
      <c r="E923" s="1"/>
    </row>
    <row r="924" spans="1:5" ht="15.75" customHeight="1" x14ac:dyDescent="0.25">
      <c r="A924" s="2"/>
      <c r="B924" s="2"/>
      <c r="C924" s="2"/>
      <c r="D924" s="2"/>
      <c r="E924" s="1"/>
    </row>
    <row r="925" spans="1:5" ht="15.75" x14ac:dyDescent="0.25">
      <c r="A925" s="2"/>
      <c r="B925" s="2"/>
      <c r="C925" s="2"/>
      <c r="D925" s="2"/>
      <c r="E925" s="1"/>
    </row>
    <row r="926" spans="1:5" ht="15.75" x14ac:dyDescent="0.25">
      <c r="A926" s="2"/>
      <c r="B926" s="2"/>
      <c r="C926" s="2"/>
      <c r="D926" s="2"/>
      <c r="E926" s="1"/>
    </row>
    <row r="927" spans="1:5" ht="15.75" x14ac:dyDescent="0.25">
      <c r="A927" s="2"/>
      <c r="B927" s="2"/>
      <c r="C927" s="2"/>
      <c r="D927" s="2"/>
      <c r="E927" s="1"/>
    </row>
    <row r="928" spans="1:5" ht="15.75" x14ac:dyDescent="0.25">
      <c r="A928" s="2"/>
      <c r="B928" s="2"/>
      <c r="C928" s="2"/>
      <c r="D928" s="2"/>
      <c r="E928" s="1"/>
    </row>
    <row r="929" spans="1:5" ht="15.75" x14ac:dyDescent="0.25">
      <c r="A929" s="2"/>
      <c r="B929" s="2"/>
      <c r="C929" s="2"/>
      <c r="D929" s="2"/>
      <c r="E929" s="1"/>
    </row>
    <row r="930" spans="1:5" ht="15.75" x14ac:dyDescent="0.25">
      <c r="A930" s="2"/>
      <c r="B930" s="2"/>
      <c r="C930" s="2"/>
      <c r="D930" s="2"/>
      <c r="E930" s="1"/>
    </row>
    <row r="931" spans="1:5" ht="15.75" x14ac:dyDescent="0.25">
      <c r="A931" s="2"/>
      <c r="B931" s="2"/>
      <c r="C931" s="2"/>
      <c r="D931" s="2"/>
      <c r="E931" s="1"/>
    </row>
    <row r="932" spans="1:5" ht="15.75" x14ac:dyDescent="0.25">
      <c r="A932" s="2"/>
      <c r="B932" s="2"/>
      <c r="C932" s="2"/>
      <c r="D932" s="2"/>
      <c r="E932" s="1"/>
    </row>
    <row r="933" spans="1:5" ht="15.75" x14ac:dyDescent="0.25">
      <c r="A933" s="2"/>
      <c r="B933" s="2"/>
      <c r="C933" s="2"/>
      <c r="D933" s="2"/>
      <c r="E933" s="1"/>
    </row>
    <row r="934" spans="1:5" ht="15.75" x14ac:dyDescent="0.25">
      <c r="A934" s="2"/>
      <c r="B934" s="2"/>
      <c r="C934" s="2"/>
      <c r="D934" s="2"/>
      <c r="E934" s="1"/>
    </row>
    <row r="935" spans="1:5" ht="15.75" x14ac:dyDescent="0.25">
      <c r="A935" s="2"/>
      <c r="B935" s="2"/>
      <c r="C935" s="2"/>
      <c r="D935" s="2"/>
      <c r="E935" s="1"/>
    </row>
    <row r="936" spans="1:5" ht="15.75" x14ac:dyDescent="0.25">
      <c r="A936" s="2"/>
      <c r="B936" s="2"/>
      <c r="C936" s="2"/>
      <c r="D936" s="2"/>
      <c r="E936" s="1"/>
    </row>
    <row r="937" spans="1:5" ht="15.75" x14ac:dyDescent="0.25">
      <c r="A937" s="2"/>
      <c r="B937" s="2"/>
      <c r="C937" s="2"/>
      <c r="D937" s="2"/>
      <c r="E937" s="1"/>
    </row>
    <row r="938" spans="1:5" ht="15.75" x14ac:dyDescent="0.25">
      <c r="A938" s="2"/>
      <c r="B938" s="2"/>
      <c r="C938" s="2"/>
      <c r="D938" s="2"/>
      <c r="E938" s="1"/>
    </row>
    <row r="939" spans="1:5" ht="15.75" x14ac:dyDescent="0.25">
      <c r="A939" s="2"/>
      <c r="B939" s="2"/>
      <c r="C939" s="2"/>
      <c r="D939" s="2"/>
      <c r="E939" s="1"/>
    </row>
    <row r="940" spans="1:5" ht="15.75" x14ac:dyDescent="0.25">
      <c r="A940" s="2"/>
      <c r="B940" s="2"/>
      <c r="C940" s="2"/>
      <c r="D940" s="2"/>
      <c r="E940" s="1"/>
    </row>
    <row r="941" spans="1:5" ht="15.75" x14ac:dyDescent="0.25">
      <c r="A941" s="2"/>
      <c r="B941" s="2"/>
      <c r="C941" s="2"/>
      <c r="D941" s="2"/>
      <c r="E941" s="1"/>
    </row>
    <row r="942" spans="1:5" ht="15.75" x14ac:dyDescent="0.25">
      <c r="A942" s="2"/>
      <c r="B942" s="2"/>
      <c r="C942" s="2"/>
      <c r="D942" s="2"/>
      <c r="E942" s="1"/>
    </row>
    <row r="943" spans="1:5" ht="15.75" x14ac:dyDescent="0.25">
      <c r="A943" s="2"/>
      <c r="B943" s="2"/>
      <c r="C943" s="2"/>
      <c r="D943" s="2"/>
      <c r="E943" s="1"/>
    </row>
    <row r="944" spans="1:5" ht="15.75" x14ac:dyDescent="0.25">
      <c r="A944" s="2"/>
      <c r="B944" s="2"/>
      <c r="C944" s="2"/>
      <c r="D944" s="2"/>
      <c r="E944" s="1"/>
    </row>
    <row r="945" spans="1:5" ht="15.75" x14ac:dyDescent="0.25">
      <c r="A945" s="2"/>
      <c r="B945" s="2"/>
      <c r="C945" s="2"/>
      <c r="D945" s="2"/>
      <c r="E945" s="1"/>
    </row>
    <row r="946" spans="1:5" ht="15.75" x14ac:dyDescent="0.25">
      <c r="A946" s="2"/>
      <c r="B946" s="2"/>
      <c r="C946" s="2"/>
      <c r="D946" s="2"/>
      <c r="E946" s="1"/>
    </row>
    <row r="947" spans="1:5" ht="15.75" x14ac:dyDescent="0.25">
      <c r="A947" s="2"/>
      <c r="B947" s="2"/>
      <c r="C947" s="2"/>
      <c r="D947" s="2"/>
      <c r="E947" s="1"/>
    </row>
    <row r="948" spans="1:5" ht="15.75" x14ac:dyDescent="0.25">
      <c r="A948" s="2"/>
      <c r="B948" s="2"/>
      <c r="C948" s="2"/>
      <c r="D948" s="2"/>
      <c r="E948" s="1"/>
    </row>
    <row r="949" spans="1:5" ht="15.75" x14ac:dyDescent="0.25">
      <c r="A949" s="2"/>
      <c r="B949" s="2"/>
      <c r="C949" s="2"/>
      <c r="D949" s="2"/>
      <c r="E949" s="1"/>
    </row>
    <row r="950" spans="1:5" ht="15.75" x14ac:dyDescent="0.25">
      <c r="A950" s="2"/>
      <c r="B950" s="2"/>
      <c r="C950" s="2"/>
      <c r="D950" s="2"/>
      <c r="E950" s="1"/>
    </row>
    <row r="951" spans="1:5" ht="15" customHeight="1" x14ac:dyDescent="0.25">
      <c r="A951" s="2"/>
      <c r="B951" s="2"/>
      <c r="C951" s="2"/>
      <c r="D951" s="2"/>
      <c r="E951" s="1"/>
    </row>
    <row r="952" spans="1:5" ht="15" customHeight="1" x14ac:dyDescent="0.25">
      <c r="A952" s="2"/>
      <c r="B952" s="2"/>
      <c r="C952" s="2"/>
      <c r="D952" s="2"/>
      <c r="E952" s="1"/>
    </row>
    <row r="953" spans="1:5" ht="15" customHeight="1" x14ac:dyDescent="0.25">
      <c r="A953" s="2"/>
      <c r="B953" s="2"/>
      <c r="C953" s="2"/>
      <c r="D953" s="2"/>
      <c r="E953" s="1"/>
    </row>
    <row r="954" spans="1:5" ht="15" customHeight="1" x14ac:dyDescent="0.25">
      <c r="A954" s="2"/>
      <c r="B954" s="2"/>
      <c r="C954" s="2"/>
      <c r="D954" s="2"/>
      <c r="E954" s="1"/>
    </row>
    <row r="955" spans="1:5" ht="15" customHeight="1" x14ac:dyDescent="0.25">
      <c r="A955" s="2"/>
      <c r="B955" s="2"/>
      <c r="C955" s="2"/>
      <c r="D955" s="2"/>
      <c r="E955" s="1"/>
    </row>
    <row r="956" spans="1:5" ht="15" customHeight="1" x14ac:dyDescent="0.25">
      <c r="A956" s="2"/>
      <c r="B956" s="2"/>
      <c r="C956" s="2"/>
      <c r="D956" s="2"/>
      <c r="E956" s="1"/>
    </row>
    <row r="957" spans="1:5" ht="15" customHeight="1" x14ac:dyDescent="0.25">
      <c r="A957" s="2"/>
      <c r="B957" s="2"/>
      <c r="C957" s="2"/>
      <c r="D957" s="2"/>
      <c r="E957" s="1"/>
    </row>
    <row r="958" spans="1:5" ht="15" customHeight="1" x14ac:dyDescent="0.25">
      <c r="A958" s="2"/>
      <c r="B958" s="2"/>
      <c r="C958" s="2"/>
      <c r="D958" s="2"/>
      <c r="E958" s="1"/>
    </row>
    <row r="959" spans="1:5" ht="15" customHeight="1" x14ac:dyDescent="0.25">
      <c r="A959" s="2"/>
      <c r="B959" s="2"/>
      <c r="C959" s="2"/>
      <c r="D959" s="2"/>
      <c r="E959" s="1"/>
    </row>
    <row r="960" spans="1:5" ht="15" customHeight="1" x14ac:dyDescent="0.25">
      <c r="A960" s="2"/>
      <c r="B960" s="2"/>
      <c r="C960" s="2"/>
      <c r="D960" s="2"/>
      <c r="E960" s="1"/>
    </row>
    <row r="961" spans="1:5" ht="15" customHeight="1" x14ac:dyDescent="0.25">
      <c r="A961" s="2"/>
      <c r="B961" s="2"/>
      <c r="C961" s="2"/>
      <c r="D961" s="2"/>
      <c r="E961" s="1"/>
    </row>
    <row r="962" spans="1:5" ht="15" customHeight="1" x14ac:dyDescent="0.25">
      <c r="A962" s="2"/>
      <c r="B962" s="2"/>
      <c r="C962" s="2"/>
      <c r="D962" s="2"/>
      <c r="E962" s="1"/>
    </row>
    <row r="963" spans="1:5" ht="15" customHeight="1" x14ac:dyDescent="0.25">
      <c r="A963" s="2"/>
      <c r="B963" s="2"/>
      <c r="C963" s="2"/>
      <c r="D963" s="2"/>
      <c r="E963" s="1"/>
    </row>
    <row r="964" spans="1:5" ht="15" customHeight="1" x14ac:dyDescent="0.25">
      <c r="A964" s="2"/>
      <c r="B964" s="2"/>
      <c r="C964" s="2"/>
      <c r="D964" s="2"/>
      <c r="E964" s="1"/>
    </row>
    <row r="965" spans="1:5" ht="15" customHeight="1" x14ac:dyDescent="0.25">
      <c r="A965" s="2"/>
      <c r="B965" s="2"/>
      <c r="C965" s="2"/>
      <c r="D965" s="2"/>
      <c r="E965" s="1"/>
    </row>
    <row r="966" spans="1:5" ht="15" customHeight="1" x14ac:dyDescent="0.25">
      <c r="A966" s="2"/>
      <c r="B966" s="2"/>
      <c r="C966" s="2"/>
      <c r="D966" s="2"/>
      <c r="E966" s="1"/>
    </row>
    <row r="967" spans="1:5" ht="15" customHeight="1" x14ac:dyDescent="0.25">
      <c r="A967" s="2"/>
      <c r="B967" s="2"/>
      <c r="C967" s="2"/>
      <c r="D967" s="2"/>
      <c r="E967" s="1"/>
    </row>
    <row r="968" spans="1:5" ht="15" customHeight="1" x14ac:dyDescent="0.25">
      <c r="A968" s="2"/>
      <c r="B968" s="2"/>
      <c r="C968" s="2"/>
      <c r="D968" s="2"/>
      <c r="E968" s="1"/>
    </row>
    <row r="969" spans="1:5" ht="15" customHeight="1" x14ac:dyDescent="0.25">
      <c r="A969" s="2"/>
      <c r="B969" s="2"/>
      <c r="C969" s="2"/>
      <c r="D969" s="2"/>
      <c r="E969" s="1"/>
    </row>
    <row r="970" spans="1:5" ht="15" customHeight="1" x14ac:dyDescent="0.25">
      <c r="A970" s="2"/>
      <c r="B970" s="2"/>
      <c r="C970" s="2"/>
      <c r="D970" s="2"/>
      <c r="E970" s="1"/>
    </row>
    <row r="971" spans="1:5" ht="15" customHeight="1" x14ac:dyDescent="0.25">
      <c r="A971" s="2"/>
      <c r="B971" s="2"/>
      <c r="C971" s="2"/>
      <c r="D971" s="2"/>
      <c r="E971" s="1"/>
    </row>
    <row r="972" spans="1:5" ht="15" customHeight="1" x14ac:dyDescent="0.25">
      <c r="A972" s="2"/>
      <c r="B972" s="2"/>
      <c r="C972" s="2"/>
      <c r="D972" s="2"/>
      <c r="E972" s="1"/>
    </row>
    <row r="973" spans="1:5" ht="15" customHeight="1" x14ac:dyDescent="0.25">
      <c r="A973" s="2"/>
      <c r="B973" s="2"/>
      <c r="C973" s="2"/>
      <c r="D973" s="2"/>
      <c r="E973" s="1"/>
    </row>
    <row r="974" spans="1:5" ht="15" customHeight="1" x14ac:dyDescent="0.25">
      <c r="A974" s="2"/>
      <c r="B974" s="2"/>
      <c r="C974" s="2"/>
      <c r="D974" s="2"/>
      <c r="E974" s="1"/>
    </row>
    <row r="975" spans="1:5" ht="15" customHeight="1" x14ac:dyDescent="0.25">
      <c r="A975" s="2"/>
      <c r="B975" s="2"/>
      <c r="C975" s="2"/>
      <c r="D975" s="2"/>
      <c r="E975" s="1"/>
    </row>
    <row r="976" spans="1:5" ht="15" customHeight="1" x14ac:dyDescent="0.25">
      <c r="A976" s="2"/>
      <c r="B976" s="2"/>
      <c r="C976" s="2"/>
      <c r="D976" s="2"/>
      <c r="E976" s="1"/>
    </row>
    <row r="977" spans="1:5" ht="15" customHeight="1" x14ac:dyDescent="0.25">
      <c r="A977" s="2"/>
      <c r="B977" s="2"/>
      <c r="C977" s="2"/>
      <c r="D977" s="2"/>
      <c r="E977" s="1"/>
    </row>
    <row r="978" spans="1:5" ht="15" customHeight="1" x14ac:dyDescent="0.25">
      <c r="A978" s="2"/>
      <c r="B978" s="2"/>
      <c r="C978" s="2"/>
      <c r="D978" s="2"/>
      <c r="E978" s="1"/>
    </row>
    <row r="979" spans="1:5" ht="15" customHeight="1" x14ac:dyDescent="0.25">
      <c r="A979" s="2"/>
      <c r="B979" s="2"/>
      <c r="C979" s="2"/>
      <c r="D979" s="2"/>
      <c r="E979" s="1"/>
    </row>
    <row r="980" spans="1:5" ht="15" customHeight="1" x14ac:dyDescent="0.25">
      <c r="A980" s="2"/>
      <c r="B980" s="2"/>
      <c r="C980" s="2"/>
      <c r="D980" s="2"/>
      <c r="E980" s="1"/>
    </row>
    <row r="981" spans="1:5" ht="15" customHeight="1" x14ac:dyDescent="0.25">
      <c r="A981" s="2"/>
      <c r="B981" s="2"/>
      <c r="C981" s="2"/>
      <c r="D981" s="2"/>
      <c r="E981" s="1"/>
    </row>
    <row r="982" spans="1:5" ht="15" customHeight="1" x14ac:dyDescent="0.25">
      <c r="A982" s="2"/>
      <c r="B982" s="2"/>
      <c r="C982" s="2"/>
      <c r="D982" s="2"/>
      <c r="E982" s="1"/>
    </row>
    <row r="983" spans="1:5" ht="15" customHeight="1" x14ac:dyDescent="0.25">
      <c r="A983" s="2"/>
      <c r="B983" s="2"/>
      <c r="C983" s="2"/>
      <c r="D983" s="2"/>
      <c r="E983" s="1"/>
    </row>
    <row r="984" spans="1:5" ht="15" customHeight="1" x14ac:dyDescent="0.25">
      <c r="A984" s="2"/>
      <c r="B984" s="2"/>
      <c r="C984" s="2"/>
      <c r="D984" s="2"/>
      <c r="E984" s="1"/>
    </row>
    <row r="985" spans="1:5" ht="15" customHeight="1" x14ac:dyDescent="0.25">
      <c r="A985" s="2"/>
      <c r="B985" s="2"/>
      <c r="C985" s="2"/>
      <c r="D985" s="2"/>
      <c r="E985" s="1"/>
    </row>
    <row r="986" spans="1:5" ht="15" customHeight="1" x14ac:dyDescent="0.25">
      <c r="A986" s="2"/>
      <c r="B986" s="2"/>
      <c r="C986" s="2"/>
      <c r="D986" s="2"/>
      <c r="E986" s="1"/>
    </row>
    <row r="987" spans="1:5" ht="15" customHeight="1" x14ac:dyDescent="0.25">
      <c r="A987" s="2"/>
      <c r="B987" s="2"/>
      <c r="C987" s="2"/>
      <c r="D987" s="2"/>
      <c r="E987" s="1"/>
    </row>
    <row r="988" spans="1:5" ht="15" customHeight="1" x14ac:dyDescent="0.25">
      <c r="A988" s="2"/>
      <c r="B988" s="2"/>
      <c r="C988" s="2"/>
      <c r="D988" s="2"/>
      <c r="E988" s="1"/>
    </row>
    <row r="989" spans="1:5" ht="15" customHeight="1" x14ac:dyDescent="0.25">
      <c r="A989" s="2"/>
      <c r="B989" s="2"/>
      <c r="C989" s="2"/>
      <c r="D989" s="2"/>
      <c r="E989" s="1"/>
    </row>
    <row r="990" spans="1:5" ht="15" customHeight="1" x14ac:dyDescent="0.25">
      <c r="A990" s="2"/>
      <c r="B990" s="2"/>
      <c r="C990" s="2"/>
      <c r="D990" s="2"/>
      <c r="E990" s="1"/>
    </row>
    <row r="991" spans="1:5" ht="15" customHeight="1" x14ac:dyDescent="0.25">
      <c r="A991" s="2"/>
      <c r="B991" s="2"/>
      <c r="C991" s="2"/>
      <c r="D991" s="2"/>
      <c r="E991" s="1"/>
    </row>
    <row r="992" spans="1:5" ht="15" customHeight="1" x14ac:dyDescent="0.25">
      <c r="A992" s="2"/>
      <c r="B992" s="2"/>
      <c r="C992" s="2"/>
      <c r="D992" s="2"/>
      <c r="E992" s="1"/>
    </row>
    <row r="993" spans="1:5" ht="15" customHeight="1" x14ac:dyDescent="0.25">
      <c r="A993" s="2"/>
      <c r="B993" s="2"/>
      <c r="C993" s="2"/>
      <c r="D993" s="2"/>
      <c r="E993" s="1"/>
    </row>
    <row r="994" spans="1:5" ht="15" customHeight="1" x14ac:dyDescent="0.25">
      <c r="A994" s="2"/>
      <c r="B994" s="2"/>
      <c r="C994" s="2"/>
      <c r="D994" s="2"/>
      <c r="E994" s="1"/>
    </row>
    <row r="995" spans="1:5" ht="15" customHeight="1" x14ac:dyDescent="0.25">
      <c r="A995" s="2"/>
      <c r="B995" s="2"/>
      <c r="C995" s="2"/>
      <c r="D995" s="2"/>
      <c r="E995" s="1"/>
    </row>
    <row r="996" spans="1:5" ht="15" customHeight="1" x14ac:dyDescent="0.25">
      <c r="A996" s="2"/>
      <c r="B996" s="2"/>
      <c r="C996" s="2"/>
      <c r="D996" s="2"/>
      <c r="E996" s="1"/>
    </row>
    <row r="997" spans="1:5" ht="15" customHeight="1" x14ac:dyDescent="0.25">
      <c r="A997" s="2"/>
      <c r="B997" s="2"/>
      <c r="C997" s="2"/>
      <c r="D997" s="2"/>
      <c r="E997" s="1"/>
    </row>
    <row r="998" spans="1:5" ht="15" customHeight="1" x14ac:dyDescent="0.25">
      <c r="A998" s="2"/>
      <c r="B998" s="2"/>
      <c r="C998" s="2"/>
      <c r="D998" s="2"/>
      <c r="E998" s="1"/>
    </row>
    <row r="999" spans="1:5" ht="15" customHeight="1" x14ac:dyDescent="0.25">
      <c r="A999" s="2"/>
      <c r="B999" s="2"/>
      <c r="C999" s="2"/>
      <c r="D999" s="2"/>
      <c r="E999" s="1"/>
    </row>
    <row r="1000" spans="1:5" ht="15" customHeight="1" x14ac:dyDescent="0.25">
      <c r="A1000" s="5"/>
      <c r="B1000" s="4"/>
      <c r="C1000" s="5"/>
      <c r="D1000" s="5"/>
      <c r="E1000" s="6"/>
    </row>
    <row r="1001" spans="1:5" ht="15" customHeight="1" x14ac:dyDescent="0.25">
      <c r="A1001" s="5"/>
      <c r="B1001" s="4"/>
      <c r="C1001" s="5"/>
      <c r="D1001" s="5"/>
      <c r="E1001" s="6"/>
    </row>
    <row r="1002" spans="1:5" ht="15" customHeight="1" x14ac:dyDescent="0.25">
      <c r="A1002" s="5"/>
      <c r="B1002" s="4"/>
      <c r="C1002" s="5"/>
      <c r="D1002" s="5"/>
      <c r="E1002" s="6"/>
    </row>
    <row r="1003" spans="1:5" ht="15" customHeight="1" x14ac:dyDescent="0.25">
      <c r="A1003" s="5"/>
      <c r="B1003" s="4"/>
      <c r="C1003" s="5"/>
      <c r="D1003" s="5"/>
      <c r="E1003" s="6"/>
    </row>
    <row r="1004" spans="1:5" ht="15" customHeight="1" x14ac:dyDescent="0.25">
      <c r="A1004" s="5"/>
      <c r="B1004" s="4"/>
      <c r="C1004" s="5"/>
      <c r="D1004" s="5"/>
      <c r="E1004" s="6"/>
    </row>
    <row r="1005" spans="1:5" ht="15" customHeight="1" x14ac:dyDescent="0.25">
      <c r="A1005" s="5"/>
      <c r="B1005" s="4"/>
      <c r="C1005" s="5"/>
      <c r="D1005" s="5"/>
      <c r="E1005" s="6"/>
    </row>
    <row r="1006" spans="1:5" ht="15" customHeight="1" x14ac:dyDescent="0.25">
      <c r="A1006" s="5"/>
      <c r="B1006" s="4"/>
      <c r="C1006" s="5"/>
      <c r="D1006" s="5"/>
      <c r="E1006" s="6"/>
    </row>
    <row r="1007" spans="1:5" ht="15" customHeight="1" x14ac:dyDescent="0.25">
      <c r="A1007" s="5"/>
      <c r="B1007" s="4"/>
      <c r="C1007" s="5"/>
      <c r="D1007" s="5"/>
      <c r="E1007" s="6"/>
    </row>
    <row r="1008" spans="1:5" ht="15" customHeight="1" x14ac:dyDescent="0.25">
      <c r="A1008" s="5"/>
      <c r="B1008" s="4"/>
      <c r="C1008" s="5"/>
      <c r="D1008" s="5"/>
      <c r="E1008" s="6"/>
    </row>
    <row r="1009" spans="1:5" ht="15" customHeight="1" x14ac:dyDescent="0.25">
      <c r="A1009" s="5"/>
      <c r="B1009" s="4"/>
      <c r="C1009" s="5"/>
      <c r="D1009" s="5"/>
      <c r="E1009" s="6"/>
    </row>
    <row r="1010" spans="1:5" ht="15" customHeight="1" x14ac:dyDescent="0.25">
      <c r="A1010" s="5"/>
      <c r="B1010" s="4"/>
      <c r="C1010" s="5"/>
      <c r="D1010" s="5"/>
      <c r="E1010" s="6"/>
    </row>
    <row r="1011" spans="1:5" ht="15" customHeight="1" x14ac:dyDescent="0.25">
      <c r="A1011" s="5"/>
      <c r="B1011" s="4"/>
      <c r="C1011" s="5"/>
      <c r="D1011" s="5"/>
      <c r="E1011" s="6"/>
    </row>
    <row r="1012" spans="1:5" ht="15" customHeight="1" x14ac:dyDescent="0.25">
      <c r="A1012" s="5"/>
      <c r="B1012" s="4"/>
      <c r="C1012" s="5"/>
      <c r="D1012" s="5"/>
      <c r="E1012" s="6"/>
    </row>
    <row r="1013" spans="1:5" ht="15" customHeight="1" x14ac:dyDescent="0.25">
      <c r="A1013" s="5"/>
      <c r="B1013" s="4"/>
      <c r="C1013" s="5"/>
      <c r="D1013" s="5"/>
      <c r="E1013" s="6"/>
    </row>
    <row r="1014" spans="1:5" ht="15" customHeight="1" x14ac:dyDescent="0.25">
      <c r="A1014" s="5"/>
      <c r="B1014" s="4"/>
      <c r="C1014" s="5"/>
      <c r="D1014" s="5"/>
      <c r="E1014" s="6"/>
    </row>
    <row r="1015" spans="1:5" ht="15" customHeight="1" x14ac:dyDescent="0.25">
      <c r="A1015" s="5"/>
      <c r="B1015" s="4"/>
      <c r="C1015" s="5"/>
      <c r="D1015" s="5"/>
      <c r="E1015" s="6"/>
    </row>
    <row r="1016" spans="1:5" ht="15" customHeight="1" x14ac:dyDescent="0.25">
      <c r="A1016" s="5"/>
      <c r="B1016" s="4"/>
      <c r="C1016" s="5"/>
      <c r="D1016" s="5"/>
      <c r="E1016" s="6"/>
    </row>
    <row r="1017" spans="1:5" ht="15" customHeight="1" x14ac:dyDescent="0.25">
      <c r="A1017" s="5"/>
      <c r="B1017" s="4"/>
      <c r="C1017" s="5"/>
      <c r="D1017" s="5"/>
      <c r="E1017" s="6"/>
    </row>
    <row r="1018" spans="1:5" ht="15" customHeight="1" x14ac:dyDescent="0.25">
      <c r="A1018" s="5"/>
      <c r="B1018" s="4"/>
      <c r="C1018" s="5"/>
      <c r="D1018" s="5"/>
      <c r="E1018" s="6"/>
    </row>
    <row r="1019" spans="1:5" ht="15" customHeight="1" x14ac:dyDescent="0.25">
      <c r="A1019" s="5"/>
      <c r="B1019" s="4"/>
      <c r="C1019" s="5"/>
      <c r="D1019" s="5"/>
      <c r="E1019" s="6"/>
    </row>
    <row r="1020" spans="1:5" ht="15" customHeight="1" x14ac:dyDescent="0.25">
      <c r="A1020" s="5"/>
      <c r="B1020" s="4"/>
      <c r="C1020" s="5"/>
      <c r="D1020" s="5"/>
      <c r="E1020" s="6"/>
    </row>
    <row r="1021" spans="1:5" ht="15" customHeight="1" x14ac:dyDescent="0.25">
      <c r="A1021" s="5"/>
      <c r="B1021" s="4"/>
      <c r="C1021" s="5"/>
      <c r="D1021" s="5"/>
      <c r="E1021" s="6"/>
    </row>
    <row r="1022" spans="1:5" ht="15" customHeight="1" x14ac:dyDescent="0.25">
      <c r="A1022" s="5"/>
      <c r="B1022" s="4"/>
      <c r="C1022" s="5"/>
      <c r="D1022" s="5"/>
      <c r="E1022" s="6"/>
    </row>
    <row r="1023" spans="1:5" ht="15" customHeight="1" x14ac:dyDescent="0.25">
      <c r="A1023" s="5"/>
      <c r="B1023" s="4"/>
      <c r="C1023" s="5"/>
      <c r="D1023" s="5"/>
      <c r="E1023" s="6"/>
    </row>
    <row r="1024" spans="1:5" ht="15" customHeight="1" x14ac:dyDescent="0.25">
      <c r="A1024" s="5"/>
      <c r="B1024" s="4"/>
      <c r="C1024" s="5"/>
      <c r="D1024" s="5"/>
      <c r="E1024" s="6"/>
    </row>
    <row r="1025" spans="1:5" ht="15" customHeight="1" x14ac:dyDescent="0.25">
      <c r="A1025" s="5"/>
      <c r="B1025" s="4"/>
      <c r="C1025" s="5"/>
      <c r="D1025" s="5"/>
      <c r="E1025" s="6"/>
    </row>
  </sheetData>
  <phoneticPr fontId="20" type="noConversion"/>
  <pageMargins left="0.511811024" right="0.511811024" top="0.78740157499999996" bottom="0.78740157499999996" header="0" footer="0"/>
  <pageSetup paperSize="9" orientation="portrait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8022-68A5-4DC6-A3AF-3913F134438E}">
  <dimension ref="A1:C445"/>
  <sheetViews>
    <sheetView topLeftCell="A421" workbookViewId="0">
      <selection activeCell="E229" sqref="E229:F229"/>
    </sheetView>
  </sheetViews>
  <sheetFormatPr defaultRowHeight="15" x14ac:dyDescent="0.25"/>
  <cols>
    <col min="1" max="1" width="41.7109375" bestFit="1" customWidth="1"/>
    <col min="2" max="2" width="54" bestFit="1" customWidth="1"/>
  </cols>
  <sheetData>
    <row r="1" spans="1:3" ht="15.75" thickBot="1" x14ac:dyDescent="0.3"/>
    <row r="2" spans="1:3" ht="15.75" thickBot="1" x14ac:dyDescent="0.3">
      <c r="A2" s="62" t="s">
        <v>214</v>
      </c>
      <c r="B2" s="63" t="s">
        <v>170</v>
      </c>
      <c r="C2" s="63" t="s">
        <v>215</v>
      </c>
    </row>
    <row r="3" spans="1:3" ht="15.75" thickBot="1" x14ac:dyDescent="0.3">
      <c r="A3" s="64" t="s">
        <v>216</v>
      </c>
      <c r="B3" s="65" t="s">
        <v>217</v>
      </c>
      <c r="C3" s="66">
        <v>217</v>
      </c>
    </row>
    <row r="4" spans="1:3" ht="15.75" thickBot="1" x14ac:dyDescent="0.3">
      <c r="A4" s="64" t="s">
        <v>218</v>
      </c>
      <c r="B4" s="65" t="s">
        <v>219</v>
      </c>
      <c r="C4" s="66">
        <v>219</v>
      </c>
    </row>
    <row r="5" spans="1:3" ht="15.75" thickBot="1" x14ac:dyDescent="0.3">
      <c r="A5" s="64" t="s">
        <v>216</v>
      </c>
      <c r="B5" s="65" t="s">
        <v>220</v>
      </c>
      <c r="C5" s="66">
        <v>221</v>
      </c>
    </row>
    <row r="6" spans="1:3" ht="15.75" thickBot="1" x14ac:dyDescent="0.3">
      <c r="A6" s="64" t="s">
        <v>221</v>
      </c>
      <c r="B6" s="65" t="s">
        <v>222</v>
      </c>
      <c r="C6" s="66">
        <v>209</v>
      </c>
    </row>
    <row r="7" spans="1:3" ht="15.75" thickBot="1" x14ac:dyDescent="0.3">
      <c r="A7" s="64" t="s">
        <v>223</v>
      </c>
      <c r="B7" s="65" t="s">
        <v>224</v>
      </c>
      <c r="C7" s="66">
        <v>222</v>
      </c>
    </row>
    <row r="8" spans="1:3" ht="15.75" thickBot="1" x14ac:dyDescent="0.3">
      <c r="A8" s="64" t="s">
        <v>225</v>
      </c>
      <c r="B8" s="65" t="s">
        <v>226</v>
      </c>
      <c r="C8" s="66">
        <v>223</v>
      </c>
    </row>
    <row r="9" spans="1:3" ht="15.75" thickBot="1" x14ac:dyDescent="0.3">
      <c r="A9" s="64" t="s">
        <v>216</v>
      </c>
      <c r="B9" s="65" t="s">
        <v>227</v>
      </c>
      <c r="C9" s="66">
        <v>228</v>
      </c>
    </row>
    <row r="10" spans="1:3" ht="15.75" thickBot="1" x14ac:dyDescent="0.3">
      <c r="A10" s="64" t="s">
        <v>654</v>
      </c>
      <c r="B10" s="65" t="s">
        <v>228</v>
      </c>
      <c r="C10" s="66">
        <v>534</v>
      </c>
    </row>
    <row r="11" spans="1:3" ht="15.75" thickBot="1" x14ac:dyDescent="0.3">
      <c r="A11" s="64" t="s">
        <v>655</v>
      </c>
      <c r="B11" s="65" t="s">
        <v>229</v>
      </c>
      <c r="C11" s="66">
        <v>532</v>
      </c>
    </row>
    <row r="12" spans="1:3" ht="15.75" thickBot="1" x14ac:dyDescent="0.3">
      <c r="A12" s="64" t="s">
        <v>656</v>
      </c>
      <c r="B12" s="65" t="s">
        <v>230</v>
      </c>
      <c r="C12" s="66">
        <v>531</v>
      </c>
    </row>
    <row r="13" spans="1:3" ht="15.75" thickBot="1" x14ac:dyDescent="0.3">
      <c r="A13" s="64" t="s">
        <v>654</v>
      </c>
      <c r="B13" s="65" t="s">
        <v>231</v>
      </c>
      <c r="C13" s="66">
        <v>530</v>
      </c>
    </row>
    <row r="14" spans="1:3" ht="15.75" thickBot="1" x14ac:dyDescent="0.3">
      <c r="A14" s="64" t="s">
        <v>654</v>
      </c>
      <c r="B14" s="65" t="s">
        <v>232</v>
      </c>
      <c r="C14" s="66">
        <v>529</v>
      </c>
    </row>
    <row r="15" spans="1:3" ht="15.75" thickBot="1" x14ac:dyDescent="0.3">
      <c r="A15" s="64" t="s">
        <v>654</v>
      </c>
      <c r="B15" s="65" t="s">
        <v>233</v>
      </c>
      <c r="C15" s="66">
        <v>528</v>
      </c>
    </row>
    <row r="16" spans="1:3" ht="15.75" thickBot="1" x14ac:dyDescent="0.3">
      <c r="A16" s="64" t="s">
        <v>654</v>
      </c>
      <c r="B16" s="65" t="s">
        <v>234</v>
      </c>
      <c r="C16" s="66">
        <v>527</v>
      </c>
    </row>
    <row r="17" spans="1:3" ht="15.75" thickBot="1" x14ac:dyDescent="0.3">
      <c r="A17" s="64" t="s">
        <v>657</v>
      </c>
      <c r="B17" s="65" t="s">
        <v>235</v>
      </c>
      <c r="C17" s="66">
        <v>526</v>
      </c>
    </row>
    <row r="18" spans="1:3" ht="15.75" thickBot="1" x14ac:dyDescent="0.3">
      <c r="A18" s="64" t="s">
        <v>656</v>
      </c>
      <c r="B18" s="65" t="s">
        <v>236</v>
      </c>
      <c r="C18" s="66">
        <v>557</v>
      </c>
    </row>
    <row r="19" spans="1:3" ht="15.75" thickBot="1" x14ac:dyDescent="0.3">
      <c r="A19" s="64" t="s">
        <v>655</v>
      </c>
      <c r="B19" s="65" t="s">
        <v>237</v>
      </c>
      <c r="C19" s="66">
        <v>556</v>
      </c>
    </row>
    <row r="20" spans="1:3" ht="15.75" thickBot="1" x14ac:dyDescent="0.3">
      <c r="A20" s="64" t="s">
        <v>658</v>
      </c>
      <c r="B20" s="65" t="s">
        <v>238</v>
      </c>
      <c r="C20" s="66">
        <v>554</v>
      </c>
    </row>
    <row r="21" spans="1:3" ht="15.75" thickBot="1" x14ac:dyDescent="0.3">
      <c r="A21" s="64" t="s">
        <v>658</v>
      </c>
      <c r="B21" s="65" t="s">
        <v>239</v>
      </c>
      <c r="C21" s="66">
        <v>551</v>
      </c>
    </row>
    <row r="22" spans="1:3" ht="15.75" thickBot="1" x14ac:dyDescent="0.3">
      <c r="A22" s="64" t="s">
        <v>658</v>
      </c>
      <c r="B22" s="65" t="s">
        <v>240</v>
      </c>
      <c r="C22" s="66">
        <v>550</v>
      </c>
    </row>
    <row r="23" spans="1:3" ht="15.75" thickBot="1" x14ac:dyDescent="0.3">
      <c r="A23" s="64" t="s">
        <v>658</v>
      </c>
      <c r="B23" s="65" t="s">
        <v>241</v>
      </c>
      <c r="C23" s="66">
        <v>549</v>
      </c>
    </row>
    <row r="24" spans="1:3" ht="15.75" thickBot="1" x14ac:dyDescent="0.3">
      <c r="A24" s="64" t="s">
        <v>658</v>
      </c>
      <c r="B24" s="65" t="s">
        <v>242</v>
      </c>
      <c r="C24" s="66">
        <v>548</v>
      </c>
    </row>
    <row r="25" spans="1:3" ht="15.75" thickBot="1" x14ac:dyDescent="0.3">
      <c r="A25" s="64" t="s">
        <v>657</v>
      </c>
      <c r="B25" s="65" t="s">
        <v>243</v>
      </c>
      <c r="C25" s="66">
        <v>581</v>
      </c>
    </row>
    <row r="26" spans="1:3" ht="15.75" thickBot="1" x14ac:dyDescent="0.3">
      <c r="A26" s="64" t="s">
        <v>654</v>
      </c>
      <c r="B26" s="65" t="s">
        <v>244</v>
      </c>
      <c r="C26" s="66">
        <v>579</v>
      </c>
    </row>
    <row r="27" spans="1:3" ht="15.75" thickBot="1" x14ac:dyDescent="0.3">
      <c r="A27" s="64" t="s">
        <v>657</v>
      </c>
      <c r="B27" s="65" t="s">
        <v>245</v>
      </c>
      <c r="C27" s="66">
        <v>577</v>
      </c>
    </row>
    <row r="28" spans="1:3" ht="15.75" thickBot="1" x14ac:dyDescent="0.3">
      <c r="A28" s="64" t="s">
        <v>657</v>
      </c>
      <c r="B28" s="65" t="s">
        <v>246</v>
      </c>
      <c r="C28" s="66">
        <v>576</v>
      </c>
    </row>
    <row r="29" spans="1:3" ht="15.75" thickBot="1" x14ac:dyDescent="0.3">
      <c r="A29" s="64" t="s">
        <v>656</v>
      </c>
      <c r="B29" s="65" t="s">
        <v>247</v>
      </c>
      <c r="C29" s="66">
        <v>574</v>
      </c>
    </row>
    <row r="30" spans="1:3" ht="15.75" thickBot="1" x14ac:dyDescent="0.3">
      <c r="A30" s="64" t="s">
        <v>655</v>
      </c>
      <c r="B30" s="65" t="s">
        <v>248</v>
      </c>
      <c r="C30" s="66">
        <v>570</v>
      </c>
    </row>
    <row r="31" spans="1:3" ht="15.75" thickBot="1" x14ac:dyDescent="0.3">
      <c r="A31" s="64" t="s">
        <v>658</v>
      </c>
      <c r="B31" s="65" t="s">
        <v>249</v>
      </c>
      <c r="C31" s="66">
        <v>597</v>
      </c>
    </row>
    <row r="32" spans="1:3" ht="15.75" thickBot="1" x14ac:dyDescent="0.3">
      <c r="A32" s="64" t="s">
        <v>658</v>
      </c>
      <c r="B32" s="65" t="s">
        <v>250</v>
      </c>
      <c r="C32" s="66">
        <v>596</v>
      </c>
    </row>
    <row r="33" spans="1:3" ht="15.75" thickBot="1" x14ac:dyDescent="0.3">
      <c r="A33" s="64" t="s">
        <v>655</v>
      </c>
      <c r="B33" s="65" t="s">
        <v>251</v>
      </c>
      <c r="C33" s="66">
        <v>593</v>
      </c>
    </row>
    <row r="34" spans="1:3" ht="15.75" thickBot="1" x14ac:dyDescent="0.3">
      <c r="A34" s="64" t="s">
        <v>656</v>
      </c>
      <c r="B34" s="65" t="s">
        <v>252</v>
      </c>
      <c r="C34" s="66">
        <v>592</v>
      </c>
    </row>
    <row r="35" spans="1:3" ht="15.75" thickBot="1" x14ac:dyDescent="0.3">
      <c r="A35" s="64" t="s">
        <v>659</v>
      </c>
      <c r="B35" s="65" t="s">
        <v>253</v>
      </c>
      <c r="C35" s="66">
        <v>425</v>
      </c>
    </row>
    <row r="36" spans="1:3" ht="15.75" thickBot="1" x14ac:dyDescent="0.3">
      <c r="A36" s="64" t="s">
        <v>657</v>
      </c>
      <c r="B36" s="65" t="s">
        <v>254</v>
      </c>
      <c r="C36" s="66">
        <v>419</v>
      </c>
    </row>
    <row r="37" spans="1:3" ht="15.75" thickBot="1" x14ac:dyDescent="0.3">
      <c r="A37" s="64" t="s">
        <v>656</v>
      </c>
      <c r="B37" s="65" t="s">
        <v>255</v>
      </c>
      <c r="C37" s="66">
        <v>440</v>
      </c>
    </row>
    <row r="38" spans="1:3" ht="15.75" thickBot="1" x14ac:dyDescent="0.3">
      <c r="A38" s="64" t="s">
        <v>658</v>
      </c>
      <c r="B38" s="65" t="s">
        <v>256</v>
      </c>
      <c r="C38" s="66">
        <v>439</v>
      </c>
    </row>
    <row r="39" spans="1:3" ht="15.75" thickBot="1" x14ac:dyDescent="0.3">
      <c r="A39" s="64" t="s">
        <v>656</v>
      </c>
      <c r="B39" s="65" t="s">
        <v>257</v>
      </c>
      <c r="C39" s="66">
        <v>474</v>
      </c>
    </row>
    <row r="40" spans="1:3" ht="15.75" thickBot="1" x14ac:dyDescent="0.3">
      <c r="A40" s="64" t="s">
        <v>656</v>
      </c>
      <c r="B40" s="65" t="s">
        <v>258</v>
      </c>
      <c r="C40" s="66">
        <v>473</v>
      </c>
    </row>
    <row r="41" spans="1:3" ht="15.75" thickBot="1" x14ac:dyDescent="0.3">
      <c r="A41" s="64" t="s">
        <v>656</v>
      </c>
      <c r="B41" s="65" t="s">
        <v>259</v>
      </c>
      <c r="C41" s="66">
        <v>472</v>
      </c>
    </row>
    <row r="42" spans="1:3" ht="15.75" thickBot="1" x14ac:dyDescent="0.3">
      <c r="A42" s="64" t="s">
        <v>656</v>
      </c>
      <c r="B42" s="65" t="s">
        <v>260</v>
      </c>
      <c r="C42" s="66">
        <v>471</v>
      </c>
    </row>
    <row r="43" spans="1:3" ht="15.75" thickBot="1" x14ac:dyDescent="0.3">
      <c r="A43" s="64" t="s">
        <v>223</v>
      </c>
      <c r="B43" s="65" t="s">
        <v>261</v>
      </c>
      <c r="C43" s="66">
        <v>216</v>
      </c>
    </row>
    <row r="44" spans="1:3" ht="15.75" thickBot="1" x14ac:dyDescent="0.3">
      <c r="A44" s="64" t="s">
        <v>262</v>
      </c>
      <c r="B44" s="65" t="s">
        <v>263</v>
      </c>
      <c r="C44" s="66">
        <v>215</v>
      </c>
    </row>
    <row r="45" spans="1:3" ht="15.75" thickBot="1" x14ac:dyDescent="0.3">
      <c r="A45" s="64" t="s">
        <v>264</v>
      </c>
      <c r="B45" s="65" t="s">
        <v>265</v>
      </c>
      <c r="C45" s="66">
        <v>213</v>
      </c>
    </row>
    <row r="46" spans="1:3" ht="15.75" thickBot="1" x14ac:dyDescent="0.3">
      <c r="A46" s="64" t="s">
        <v>266</v>
      </c>
      <c r="B46" s="65" t="s">
        <v>267</v>
      </c>
      <c r="C46" s="66">
        <v>214</v>
      </c>
    </row>
    <row r="47" spans="1:3" ht="15.75" thickBot="1" x14ac:dyDescent="0.3">
      <c r="A47" s="64" t="s">
        <v>216</v>
      </c>
      <c r="B47" s="65" t="s">
        <v>268</v>
      </c>
      <c r="C47" s="66">
        <v>212</v>
      </c>
    </row>
    <row r="48" spans="1:3" ht="15.75" thickBot="1" x14ac:dyDescent="0.3">
      <c r="A48" s="64" t="s">
        <v>269</v>
      </c>
      <c r="B48" s="65" t="s">
        <v>270</v>
      </c>
      <c r="C48" s="66">
        <v>211</v>
      </c>
    </row>
    <row r="49" spans="1:3" ht="15.75" thickBot="1" x14ac:dyDescent="0.3">
      <c r="A49" s="64" t="s">
        <v>223</v>
      </c>
      <c r="B49" s="65" t="s">
        <v>271</v>
      </c>
      <c r="C49" s="66">
        <v>208</v>
      </c>
    </row>
    <row r="50" spans="1:3" ht="15.75" thickBot="1" x14ac:dyDescent="0.3">
      <c r="A50" s="64" t="s">
        <v>264</v>
      </c>
      <c r="B50" s="65" t="s">
        <v>272</v>
      </c>
      <c r="C50" s="66">
        <v>207</v>
      </c>
    </row>
    <row r="51" spans="1:3" ht="15.75" thickBot="1" x14ac:dyDescent="0.3">
      <c r="A51" s="64" t="s">
        <v>273</v>
      </c>
      <c r="B51" s="65" t="s">
        <v>274</v>
      </c>
      <c r="C51" s="66">
        <v>206</v>
      </c>
    </row>
    <row r="52" spans="1:3" ht="15.75" thickBot="1" x14ac:dyDescent="0.3">
      <c r="A52" s="64" t="s">
        <v>225</v>
      </c>
      <c r="B52" s="65" t="s">
        <v>275</v>
      </c>
      <c r="C52" s="66">
        <v>205</v>
      </c>
    </row>
    <row r="53" spans="1:3" ht="15.75" thickBot="1" x14ac:dyDescent="0.3">
      <c r="A53" s="64" t="s">
        <v>225</v>
      </c>
      <c r="B53" s="65" t="s">
        <v>276</v>
      </c>
      <c r="C53" s="66">
        <v>204</v>
      </c>
    </row>
    <row r="54" spans="1:3" ht="15.75" thickBot="1" x14ac:dyDescent="0.3">
      <c r="A54" s="64" t="s">
        <v>269</v>
      </c>
      <c r="B54" s="65" t="s">
        <v>277</v>
      </c>
      <c r="C54" s="66">
        <v>203</v>
      </c>
    </row>
    <row r="55" spans="1:3" ht="15.75" thickBot="1" x14ac:dyDescent="0.3">
      <c r="A55" s="64" t="s">
        <v>278</v>
      </c>
      <c r="B55" s="65" t="s">
        <v>279</v>
      </c>
      <c r="C55" s="66">
        <v>202</v>
      </c>
    </row>
    <row r="56" spans="1:3" ht="15.75" thickBot="1" x14ac:dyDescent="0.3">
      <c r="A56" s="64" t="s">
        <v>660</v>
      </c>
      <c r="B56" s="65" t="s">
        <v>280</v>
      </c>
      <c r="C56" s="66">
        <v>100</v>
      </c>
    </row>
    <row r="57" spans="1:3" ht="15.75" thickBot="1" x14ac:dyDescent="0.3">
      <c r="A57" s="64" t="s">
        <v>656</v>
      </c>
      <c r="B57" s="65" t="s">
        <v>281</v>
      </c>
      <c r="C57" s="66">
        <v>459</v>
      </c>
    </row>
    <row r="58" spans="1:3" ht="15.75" thickBot="1" x14ac:dyDescent="0.3">
      <c r="A58" s="64" t="s">
        <v>656</v>
      </c>
      <c r="B58" s="65" t="s">
        <v>282</v>
      </c>
      <c r="C58" s="66">
        <v>457</v>
      </c>
    </row>
    <row r="59" spans="1:3" ht="15.75" thickBot="1" x14ac:dyDescent="0.3">
      <c r="A59" s="64" t="s">
        <v>656</v>
      </c>
      <c r="B59" s="65" t="s">
        <v>283</v>
      </c>
      <c r="C59" s="66">
        <v>432</v>
      </c>
    </row>
    <row r="60" spans="1:3" ht="15.75" thickBot="1" x14ac:dyDescent="0.3">
      <c r="A60" s="64" t="s">
        <v>658</v>
      </c>
      <c r="B60" s="65" t="s">
        <v>284</v>
      </c>
      <c r="C60" s="66">
        <v>410</v>
      </c>
    </row>
    <row r="61" spans="1:3" ht="15.75" thickBot="1" x14ac:dyDescent="0.3">
      <c r="A61" s="64" t="s">
        <v>657</v>
      </c>
      <c r="B61" s="65" t="s">
        <v>285</v>
      </c>
      <c r="C61" s="66">
        <v>588</v>
      </c>
    </row>
    <row r="62" spans="1:3" ht="15.75" thickBot="1" x14ac:dyDescent="0.3">
      <c r="A62" s="64" t="s">
        <v>661</v>
      </c>
      <c r="B62" s="65" t="s">
        <v>286</v>
      </c>
      <c r="C62" s="66">
        <v>587</v>
      </c>
    </row>
    <row r="63" spans="1:3" ht="15.75" thickBot="1" x14ac:dyDescent="0.3">
      <c r="A63" s="64" t="s">
        <v>656</v>
      </c>
      <c r="B63" s="65" t="s">
        <v>287</v>
      </c>
      <c r="C63" s="66">
        <v>586</v>
      </c>
    </row>
    <row r="64" spans="1:3" ht="15.75" thickBot="1" x14ac:dyDescent="0.3">
      <c r="A64" s="64" t="s">
        <v>657</v>
      </c>
      <c r="B64" s="65" t="s">
        <v>288</v>
      </c>
      <c r="C64" s="66">
        <v>582</v>
      </c>
    </row>
    <row r="65" spans="1:3" ht="15.75" thickBot="1" x14ac:dyDescent="0.3">
      <c r="A65" s="64" t="s">
        <v>657</v>
      </c>
      <c r="B65" s="65" t="s">
        <v>289</v>
      </c>
      <c r="C65" s="66">
        <v>569</v>
      </c>
    </row>
    <row r="66" spans="1:3" ht="15.75" thickBot="1" x14ac:dyDescent="0.3">
      <c r="A66" s="64" t="s">
        <v>656</v>
      </c>
      <c r="B66" s="65" t="s">
        <v>290</v>
      </c>
      <c r="C66" s="66">
        <v>568</v>
      </c>
    </row>
    <row r="67" spans="1:3" ht="15.75" thickBot="1" x14ac:dyDescent="0.3">
      <c r="A67" s="64" t="s">
        <v>658</v>
      </c>
      <c r="B67" s="65" t="s">
        <v>291</v>
      </c>
      <c r="C67" s="66">
        <v>564</v>
      </c>
    </row>
    <row r="68" spans="1:3" ht="15.75" thickBot="1" x14ac:dyDescent="0.3">
      <c r="A68" s="64" t="s">
        <v>656</v>
      </c>
      <c r="B68" s="65" t="s">
        <v>292</v>
      </c>
      <c r="C68" s="66">
        <v>563</v>
      </c>
    </row>
    <row r="69" spans="1:3" ht="15.75" thickBot="1" x14ac:dyDescent="0.3">
      <c r="A69" s="64" t="s">
        <v>656</v>
      </c>
      <c r="B69" s="65" t="s">
        <v>293</v>
      </c>
      <c r="C69" s="66">
        <v>562</v>
      </c>
    </row>
    <row r="70" spans="1:3" ht="15.75" thickBot="1" x14ac:dyDescent="0.3">
      <c r="A70" s="64" t="s">
        <v>657</v>
      </c>
      <c r="B70" s="65" t="s">
        <v>294</v>
      </c>
      <c r="C70" s="66">
        <v>561</v>
      </c>
    </row>
    <row r="71" spans="1:3" ht="15.75" thickBot="1" x14ac:dyDescent="0.3">
      <c r="A71" s="64" t="s">
        <v>656</v>
      </c>
      <c r="B71" s="65" t="s">
        <v>295</v>
      </c>
      <c r="C71" s="66">
        <v>560</v>
      </c>
    </row>
    <row r="72" spans="1:3" ht="15.75" thickBot="1" x14ac:dyDescent="0.3">
      <c r="A72" s="64" t="s">
        <v>656</v>
      </c>
      <c r="B72" s="65" t="s">
        <v>296</v>
      </c>
      <c r="C72" s="66">
        <v>559</v>
      </c>
    </row>
    <row r="73" spans="1:3" ht="15.75" thickBot="1" x14ac:dyDescent="0.3">
      <c r="A73" s="64" t="s">
        <v>658</v>
      </c>
      <c r="B73" s="65" t="s">
        <v>297</v>
      </c>
      <c r="C73" s="66">
        <v>546</v>
      </c>
    </row>
    <row r="74" spans="1:3" ht="15.75" thickBot="1" x14ac:dyDescent="0.3">
      <c r="A74" s="64" t="s">
        <v>654</v>
      </c>
      <c r="B74" s="65" t="s">
        <v>298</v>
      </c>
      <c r="C74" s="66">
        <v>545</v>
      </c>
    </row>
    <row r="75" spans="1:3" ht="15.75" thickBot="1" x14ac:dyDescent="0.3">
      <c r="A75" s="64" t="s">
        <v>657</v>
      </c>
      <c r="B75" s="65" t="s">
        <v>299</v>
      </c>
      <c r="C75" s="66">
        <v>544</v>
      </c>
    </row>
    <row r="76" spans="1:3" ht="15.75" thickBot="1" x14ac:dyDescent="0.3">
      <c r="A76" s="64" t="s">
        <v>661</v>
      </c>
      <c r="B76" s="65" t="s">
        <v>300</v>
      </c>
      <c r="C76" s="66">
        <v>543</v>
      </c>
    </row>
    <row r="77" spans="1:3" ht="15.75" thickBot="1" x14ac:dyDescent="0.3">
      <c r="A77" s="64" t="s">
        <v>657</v>
      </c>
      <c r="B77" s="65" t="s">
        <v>301</v>
      </c>
      <c r="C77" s="66">
        <v>542</v>
      </c>
    </row>
    <row r="78" spans="1:3" ht="15.75" thickBot="1" x14ac:dyDescent="0.3">
      <c r="A78" s="64" t="s">
        <v>656</v>
      </c>
      <c r="B78" s="65" t="s">
        <v>302</v>
      </c>
      <c r="C78" s="66">
        <v>540</v>
      </c>
    </row>
    <row r="79" spans="1:3" ht="15.75" thickBot="1" x14ac:dyDescent="0.3">
      <c r="A79" s="64" t="s">
        <v>656</v>
      </c>
      <c r="B79" s="65" t="s">
        <v>303</v>
      </c>
      <c r="C79" s="66">
        <v>538</v>
      </c>
    </row>
    <row r="80" spans="1:3" ht="15.75" thickBot="1" x14ac:dyDescent="0.3">
      <c r="A80" s="64" t="s">
        <v>656</v>
      </c>
      <c r="B80" s="65" t="s">
        <v>304</v>
      </c>
      <c r="C80" s="66">
        <v>536</v>
      </c>
    </row>
    <row r="81" spans="1:3" ht="15.75" thickBot="1" x14ac:dyDescent="0.3">
      <c r="A81" s="64" t="s">
        <v>661</v>
      </c>
      <c r="B81" s="65" t="s">
        <v>305</v>
      </c>
      <c r="C81" s="66">
        <v>522</v>
      </c>
    </row>
    <row r="82" spans="1:3" ht="15.75" thickBot="1" x14ac:dyDescent="0.3">
      <c r="A82" s="64" t="s">
        <v>654</v>
      </c>
      <c r="B82" s="65" t="s">
        <v>306</v>
      </c>
      <c r="C82" s="66">
        <v>520</v>
      </c>
    </row>
    <row r="83" spans="1:3" ht="15.75" thickBot="1" x14ac:dyDescent="0.3">
      <c r="A83" s="64" t="s">
        <v>661</v>
      </c>
      <c r="B83" s="65" t="s">
        <v>307</v>
      </c>
      <c r="C83" s="66">
        <v>518</v>
      </c>
    </row>
    <row r="84" spans="1:3" ht="15.75" thickBot="1" x14ac:dyDescent="0.3">
      <c r="A84" s="64" t="s">
        <v>661</v>
      </c>
      <c r="B84" s="65" t="s">
        <v>308</v>
      </c>
      <c r="C84" s="66">
        <v>516</v>
      </c>
    </row>
    <row r="85" spans="1:3" ht="15.75" thickBot="1" x14ac:dyDescent="0.3">
      <c r="A85" s="64" t="s">
        <v>656</v>
      </c>
      <c r="B85" s="65" t="s">
        <v>309</v>
      </c>
      <c r="C85" s="66">
        <v>511</v>
      </c>
    </row>
    <row r="86" spans="1:3" ht="15.75" thickBot="1" x14ac:dyDescent="0.3">
      <c r="A86" s="64" t="s">
        <v>656</v>
      </c>
      <c r="B86" s="65" t="s">
        <v>310</v>
      </c>
      <c r="C86" s="66">
        <v>512</v>
      </c>
    </row>
    <row r="87" spans="1:3" ht="15.75" thickBot="1" x14ac:dyDescent="0.3">
      <c r="A87" s="64" t="s">
        <v>660</v>
      </c>
      <c r="B87" s="65" t="s">
        <v>138</v>
      </c>
      <c r="C87" s="66" t="s">
        <v>697</v>
      </c>
    </row>
    <row r="88" spans="1:3" ht="15.75" thickBot="1" x14ac:dyDescent="0.3">
      <c r="A88" s="64" t="s">
        <v>660</v>
      </c>
      <c r="B88" s="65" t="s">
        <v>311</v>
      </c>
      <c r="C88" s="66" t="s">
        <v>698</v>
      </c>
    </row>
    <row r="89" spans="1:3" ht="15.75" thickBot="1" x14ac:dyDescent="0.3">
      <c r="A89" s="64" t="s">
        <v>660</v>
      </c>
      <c r="B89" s="65" t="s">
        <v>127</v>
      </c>
      <c r="C89" s="66">
        <v>1</v>
      </c>
    </row>
    <row r="90" spans="1:3" ht="15.75" thickBot="1" x14ac:dyDescent="0.3">
      <c r="A90" s="64" t="s">
        <v>221</v>
      </c>
      <c r="B90" s="65" t="s">
        <v>312</v>
      </c>
      <c r="C90" s="66">
        <v>2</v>
      </c>
    </row>
    <row r="91" spans="1:3" ht="15.75" thickBot="1" x14ac:dyDescent="0.3">
      <c r="A91" s="64" t="s">
        <v>223</v>
      </c>
      <c r="B91" s="65" t="s">
        <v>313</v>
      </c>
      <c r="C91" s="66">
        <v>24</v>
      </c>
    </row>
    <row r="92" spans="1:3" ht="15.75" thickBot="1" x14ac:dyDescent="0.3">
      <c r="A92" s="64" t="s">
        <v>221</v>
      </c>
      <c r="B92" s="65" t="s">
        <v>314</v>
      </c>
      <c r="C92" s="66">
        <v>0</v>
      </c>
    </row>
    <row r="93" spans="1:3" ht="15.75" thickBot="1" x14ac:dyDescent="0.3">
      <c r="A93" s="64" t="s">
        <v>262</v>
      </c>
      <c r="B93" s="65" t="s">
        <v>315</v>
      </c>
      <c r="C93" s="66">
        <v>23</v>
      </c>
    </row>
    <row r="94" spans="1:3" ht="15.75" thickBot="1" x14ac:dyDescent="0.3">
      <c r="A94" s="64" t="s">
        <v>273</v>
      </c>
      <c r="B94" s="65" t="s">
        <v>316</v>
      </c>
      <c r="C94" s="66">
        <v>17</v>
      </c>
    </row>
    <row r="95" spans="1:3" ht="15.75" thickBot="1" x14ac:dyDescent="0.3">
      <c r="A95" s="64" t="s">
        <v>225</v>
      </c>
      <c r="B95" s="65" t="s">
        <v>317</v>
      </c>
      <c r="C95" s="66">
        <v>20</v>
      </c>
    </row>
    <row r="96" spans="1:3" ht="15.75" thickBot="1" x14ac:dyDescent="0.3">
      <c r="A96" s="64" t="s">
        <v>216</v>
      </c>
      <c r="B96" s="65" t="s">
        <v>318</v>
      </c>
      <c r="C96" s="66">
        <v>11</v>
      </c>
    </row>
    <row r="97" spans="1:3" ht="15.75" thickBot="1" x14ac:dyDescent="0.3">
      <c r="A97" s="64" t="s">
        <v>269</v>
      </c>
      <c r="B97" s="65" t="s">
        <v>319</v>
      </c>
      <c r="C97" s="66">
        <v>7</v>
      </c>
    </row>
    <row r="98" spans="1:3" ht="15.75" thickBot="1" x14ac:dyDescent="0.3">
      <c r="A98" s="64" t="s">
        <v>273</v>
      </c>
      <c r="B98" s="65" t="s">
        <v>320</v>
      </c>
      <c r="C98" s="66">
        <v>15</v>
      </c>
    </row>
    <row r="99" spans="1:3" ht="15.75" thickBot="1" x14ac:dyDescent="0.3">
      <c r="A99" s="64" t="s">
        <v>269</v>
      </c>
      <c r="B99" s="65" t="s">
        <v>321</v>
      </c>
      <c r="C99" s="66">
        <v>6</v>
      </c>
    </row>
    <row r="100" spans="1:3" ht="15.75" thickBot="1" x14ac:dyDescent="0.3">
      <c r="A100" s="64" t="s">
        <v>266</v>
      </c>
      <c r="B100" s="65" t="s">
        <v>322</v>
      </c>
      <c r="C100" s="66">
        <v>9</v>
      </c>
    </row>
    <row r="101" spans="1:3" ht="15.75" thickBot="1" x14ac:dyDescent="0.3">
      <c r="A101" s="64" t="s">
        <v>273</v>
      </c>
      <c r="B101" s="65" t="s">
        <v>323</v>
      </c>
      <c r="C101" s="66">
        <v>18</v>
      </c>
    </row>
    <row r="102" spans="1:3" ht="15.75" thickBot="1" x14ac:dyDescent="0.3">
      <c r="A102" s="64" t="s">
        <v>264</v>
      </c>
      <c r="B102" s="65" t="s">
        <v>324</v>
      </c>
      <c r="C102" s="66">
        <v>13</v>
      </c>
    </row>
    <row r="103" spans="1:3" ht="15.75" thickBot="1" x14ac:dyDescent="0.3">
      <c r="A103" s="64" t="s">
        <v>278</v>
      </c>
      <c r="B103" s="65" t="s">
        <v>325</v>
      </c>
      <c r="C103" s="66">
        <v>4</v>
      </c>
    </row>
    <row r="104" spans="1:3" ht="15.75" thickBot="1" x14ac:dyDescent="0.3">
      <c r="A104" s="64" t="s">
        <v>221</v>
      </c>
      <c r="B104" s="65" t="s">
        <v>326</v>
      </c>
      <c r="C104" s="66">
        <v>3</v>
      </c>
    </row>
    <row r="105" spans="1:3" ht="15.75" thickBot="1" x14ac:dyDescent="0.3">
      <c r="A105" s="64" t="s">
        <v>216</v>
      </c>
      <c r="B105" s="65" t="s">
        <v>327</v>
      </c>
      <c r="C105" s="66">
        <v>19</v>
      </c>
    </row>
    <row r="106" spans="1:3" ht="15.75" thickBot="1" x14ac:dyDescent="0.3">
      <c r="A106" s="64" t="s">
        <v>218</v>
      </c>
      <c r="B106" s="65" t="s">
        <v>328</v>
      </c>
      <c r="C106" s="66">
        <v>8</v>
      </c>
    </row>
    <row r="107" spans="1:3" ht="15.75" thickBot="1" x14ac:dyDescent="0.3">
      <c r="A107" s="64" t="s">
        <v>225</v>
      </c>
      <c r="B107" s="65" t="s">
        <v>329</v>
      </c>
      <c r="C107" s="66">
        <v>22</v>
      </c>
    </row>
    <row r="108" spans="1:3" ht="15.75" thickBot="1" x14ac:dyDescent="0.3">
      <c r="A108" s="64" t="s">
        <v>264</v>
      </c>
      <c r="B108" s="65" t="s">
        <v>330</v>
      </c>
      <c r="C108" s="66">
        <v>12</v>
      </c>
    </row>
    <row r="109" spans="1:3" ht="15.75" thickBot="1" x14ac:dyDescent="0.3">
      <c r="A109" s="64" t="s">
        <v>223</v>
      </c>
      <c r="B109" s="65" t="s">
        <v>331</v>
      </c>
      <c r="C109" s="66">
        <v>27</v>
      </c>
    </row>
    <row r="110" spans="1:3" ht="15.75" thickBot="1" x14ac:dyDescent="0.3">
      <c r="A110" s="64" t="s">
        <v>225</v>
      </c>
      <c r="B110" s="65" t="s">
        <v>332</v>
      </c>
      <c r="C110" s="66">
        <v>14</v>
      </c>
    </row>
    <row r="111" spans="1:3" ht="15.75" thickBot="1" x14ac:dyDescent="0.3">
      <c r="A111" s="64" t="s">
        <v>660</v>
      </c>
      <c r="B111" s="65" t="s">
        <v>333</v>
      </c>
      <c r="C111" s="66">
        <v>0</v>
      </c>
    </row>
    <row r="112" spans="1:3" ht="15.75" thickBot="1" x14ac:dyDescent="0.3">
      <c r="A112" s="64" t="s">
        <v>661</v>
      </c>
      <c r="B112" s="65" t="s">
        <v>334</v>
      </c>
      <c r="C112" s="66">
        <v>510</v>
      </c>
    </row>
    <row r="113" spans="1:3" ht="15.75" thickBot="1" x14ac:dyDescent="0.3">
      <c r="A113" s="64" t="s">
        <v>657</v>
      </c>
      <c r="B113" s="65" t="s">
        <v>335</v>
      </c>
      <c r="C113" s="66">
        <v>513</v>
      </c>
    </row>
    <row r="114" spans="1:3" ht="15.75" thickBot="1" x14ac:dyDescent="0.3">
      <c r="A114" s="64" t="s">
        <v>661</v>
      </c>
      <c r="B114" s="65" t="s">
        <v>336</v>
      </c>
      <c r="C114" s="66">
        <v>515</v>
      </c>
    </row>
    <row r="115" spans="1:3" ht="15.75" thickBot="1" x14ac:dyDescent="0.3">
      <c r="A115" s="64" t="s">
        <v>655</v>
      </c>
      <c r="B115" s="65" t="s">
        <v>337</v>
      </c>
      <c r="C115" s="66">
        <v>517</v>
      </c>
    </row>
    <row r="116" spans="1:3" ht="15.75" thickBot="1" x14ac:dyDescent="0.3">
      <c r="A116" s="64" t="s">
        <v>657</v>
      </c>
      <c r="B116" s="65" t="s">
        <v>338</v>
      </c>
      <c r="C116" s="66">
        <v>519</v>
      </c>
    </row>
    <row r="117" spans="1:3" ht="15.75" thickBot="1" x14ac:dyDescent="0.3">
      <c r="A117" s="64" t="s">
        <v>657</v>
      </c>
      <c r="B117" s="65" t="s">
        <v>339</v>
      </c>
      <c r="C117" s="66">
        <v>521</v>
      </c>
    </row>
    <row r="118" spans="1:3" ht="15.75" thickBot="1" x14ac:dyDescent="0.3">
      <c r="A118" s="64" t="s">
        <v>658</v>
      </c>
      <c r="B118" s="65" t="s">
        <v>340</v>
      </c>
      <c r="C118" s="66">
        <v>523</v>
      </c>
    </row>
    <row r="119" spans="1:3" ht="15.75" thickBot="1" x14ac:dyDescent="0.3">
      <c r="A119" s="64" t="s">
        <v>661</v>
      </c>
      <c r="B119" s="65" t="s">
        <v>341</v>
      </c>
      <c r="C119" s="66">
        <v>598</v>
      </c>
    </row>
    <row r="120" spans="1:3" ht="15.75" thickBot="1" x14ac:dyDescent="0.3">
      <c r="A120" s="64" t="s">
        <v>656</v>
      </c>
      <c r="B120" s="65" t="s">
        <v>342</v>
      </c>
      <c r="C120" s="66">
        <v>599</v>
      </c>
    </row>
    <row r="121" spans="1:3" ht="15.75" thickBot="1" x14ac:dyDescent="0.3">
      <c r="A121" s="64" t="s">
        <v>657</v>
      </c>
      <c r="B121" s="65" t="s">
        <v>343</v>
      </c>
      <c r="C121" s="66">
        <v>504</v>
      </c>
    </row>
    <row r="122" spans="1:3" ht="15.75" thickBot="1" x14ac:dyDescent="0.3">
      <c r="A122" s="64" t="s">
        <v>656</v>
      </c>
      <c r="B122" s="65" t="s">
        <v>344</v>
      </c>
      <c r="C122" s="66">
        <v>505</v>
      </c>
    </row>
    <row r="123" spans="1:3" ht="15.75" thickBot="1" x14ac:dyDescent="0.3">
      <c r="A123" s="64" t="s">
        <v>657</v>
      </c>
      <c r="B123" s="65" t="s">
        <v>345</v>
      </c>
      <c r="C123" s="66">
        <v>506</v>
      </c>
    </row>
    <row r="124" spans="1:3" ht="15.75" thickBot="1" x14ac:dyDescent="0.3">
      <c r="A124" s="64" t="s">
        <v>346</v>
      </c>
      <c r="B124" s="65" t="s">
        <v>347</v>
      </c>
      <c r="C124" s="66">
        <v>804</v>
      </c>
    </row>
    <row r="125" spans="1:3" ht="15.75" thickBot="1" x14ac:dyDescent="0.3">
      <c r="A125" s="64" t="s">
        <v>346</v>
      </c>
      <c r="B125" s="65" t="s">
        <v>348</v>
      </c>
      <c r="C125" s="66">
        <v>805</v>
      </c>
    </row>
    <row r="126" spans="1:3" ht="15.75" thickBot="1" x14ac:dyDescent="0.3">
      <c r="A126" s="64" t="s">
        <v>660</v>
      </c>
      <c r="B126" s="65" t="s">
        <v>349</v>
      </c>
      <c r="C126" s="66">
        <v>29</v>
      </c>
    </row>
    <row r="127" spans="1:3" ht="15.75" thickBot="1" x14ac:dyDescent="0.3">
      <c r="A127" s="64" t="s">
        <v>661</v>
      </c>
      <c r="B127" s="65" t="s">
        <v>350</v>
      </c>
      <c r="C127" s="66">
        <v>807</v>
      </c>
    </row>
    <row r="128" spans="1:3" ht="15.75" thickBot="1" x14ac:dyDescent="0.3">
      <c r="A128" s="64" t="s">
        <v>661</v>
      </c>
      <c r="B128" s="65" t="s">
        <v>351</v>
      </c>
      <c r="C128" s="66">
        <v>808</v>
      </c>
    </row>
    <row r="129" spans="1:3" ht="15.75" thickBot="1" x14ac:dyDescent="0.3">
      <c r="A129" s="64" t="s">
        <v>656</v>
      </c>
      <c r="B129" s="65" t="s">
        <v>352</v>
      </c>
      <c r="C129" s="66">
        <v>900</v>
      </c>
    </row>
    <row r="130" spans="1:3" ht="15.75" thickBot="1" x14ac:dyDescent="0.3">
      <c r="A130" s="64" t="s">
        <v>346</v>
      </c>
      <c r="B130" s="65" t="s">
        <v>353</v>
      </c>
      <c r="C130" s="66">
        <v>816</v>
      </c>
    </row>
    <row r="131" spans="1:3" ht="15.75" thickBot="1" x14ac:dyDescent="0.3">
      <c r="A131" s="64" t="s">
        <v>656</v>
      </c>
      <c r="B131" s="65" t="s">
        <v>354</v>
      </c>
      <c r="C131" s="66">
        <v>902</v>
      </c>
    </row>
    <row r="132" spans="1:3" ht="15.75" thickBot="1" x14ac:dyDescent="0.3">
      <c r="A132" s="64" t="s">
        <v>273</v>
      </c>
      <c r="B132" s="65" t="s">
        <v>355</v>
      </c>
      <c r="C132" s="66">
        <v>229</v>
      </c>
    </row>
    <row r="133" spans="1:3" ht="15.75" thickBot="1" x14ac:dyDescent="0.3">
      <c r="A133" s="64" t="s">
        <v>657</v>
      </c>
      <c r="B133" s="65" t="s">
        <v>356</v>
      </c>
      <c r="C133" s="66">
        <v>903</v>
      </c>
    </row>
    <row r="134" spans="1:3" ht="15.75" thickBot="1" x14ac:dyDescent="0.3">
      <c r="A134" s="64" t="s">
        <v>346</v>
      </c>
      <c r="B134" s="65" t="s">
        <v>357</v>
      </c>
      <c r="C134" s="66">
        <v>822</v>
      </c>
    </row>
    <row r="135" spans="1:3" ht="15.75" thickBot="1" x14ac:dyDescent="0.3">
      <c r="A135" s="64" t="s">
        <v>278</v>
      </c>
      <c r="B135" s="65" t="s">
        <v>358</v>
      </c>
      <c r="C135" s="66">
        <v>31</v>
      </c>
    </row>
    <row r="136" spans="1:3" ht="15.75" thickBot="1" x14ac:dyDescent="0.3">
      <c r="A136" s="64" t="s">
        <v>278</v>
      </c>
      <c r="B136" s="65" t="s">
        <v>359</v>
      </c>
      <c r="C136" s="66">
        <v>32</v>
      </c>
    </row>
    <row r="137" spans="1:3" ht="15.75" thickBot="1" x14ac:dyDescent="0.3">
      <c r="A137" s="64" t="s">
        <v>269</v>
      </c>
      <c r="B137" s="65" t="s">
        <v>360</v>
      </c>
      <c r="C137" s="66">
        <v>33</v>
      </c>
    </row>
    <row r="138" spans="1:3" ht="15.75" thickBot="1" x14ac:dyDescent="0.3">
      <c r="A138" s="64" t="s">
        <v>657</v>
      </c>
      <c r="B138" s="65" t="s">
        <v>361</v>
      </c>
      <c r="C138" s="66">
        <v>904</v>
      </c>
    </row>
    <row r="139" spans="1:3" ht="15.75" thickBot="1" x14ac:dyDescent="0.3">
      <c r="A139" s="64" t="s">
        <v>654</v>
      </c>
      <c r="B139" s="65" t="s">
        <v>362</v>
      </c>
      <c r="C139" s="66">
        <v>838</v>
      </c>
    </row>
    <row r="140" spans="1:3" ht="15.75" thickBot="1" x14ac:dyDescent="0.3">
      <c r="A140" s="64" t="s">
        <v>656</v>
      </c>
      <c r="B140" s="65" t="s">
        <v>363</v>
      </c>
      <c r="C140" s="66">
        <v>906</v>
      </c>
    </row>
    <row r="141" spans="1:3" ht="15.75" thickBot="1" x14ac:dyDescent="0.3">
      <c r="A141" s="64" t="s">
        <v>658</v>
      </c>
      <c r="B141" s="65" t="s">
        <v>364</v>
      </c>
      <c r="C141" s="66">
        <v>905</v>
      </c>
    </row>
    <row r="142" spans="1:3" ht="15.75" thickBot="1" x14ac:dyDescent="0.3">
      <c r="A142" s="64" t="s">
        <v>658</v>
      </c>
      <c r="B142" s="65" t="s">
        <v>365</v>
      </c>
      <c r="C142" s="66">
        <v>840</v>
      </c>
    </row>
    <row r="143" spans="1:3" ht="15.75" thickBot="1" x14ac:dyDescent="0.3">
      <c r="A143" s="64" t="s">
        <v>273</v>
      </c>
      <c r="B143" s="65" t="s">
        <v>366</v>
      </c>
      <c r="C143" s="66">
        <v>233</v>
      </c>
    </row>
    <row r="144" spans="1:3" ht="15.75" thickBot="1" x14ac:dyDescent="0.3">
      <c r="A144" s="64" t="s">
        <v>654</v>
      </c>
      <c r="B144" s="65" t="s">
        <v>367</v>
      </c>
      <c r="C144" s="66">
        <v>844</v>
      </c>
    </row>
    <row r="145" spans="1:3" ht="15.75" thickBot="1" x14ac:dyDescent="0.3">
      <c r="A145" s="64" t="s">
        <v>656</v>
      </c>
      <c r="B145" s="65" t="s">
        <v>368</v>
      </c>
      <c r="C145" s="66">
        <v>851</v>
      </c>
    </row>
    <row r="146" spans="1:3" ht="15.75" thickBot="1" x14ac:dyDescent="0.3">
      <c r="A146" s="64" t="s">
        <v>661</v>
      </c>
      <c r="B146" s="65" t="s">
        <v>369</v>
      </c>
      <c r="C146" s="66">
        <v>852</v>
      </c>
    </row>
    <row r="147" spans="1:3" ht="15.75" thickBot="1" x14ac:dyDescent="0.3">
      <c r="A147" s="64" t="s">
        <v>658</v>
      </c>
      <c r="B147" s="65" t="s">
        <v>370</v>
      </c>
      <c r="C147" s="66">
        <v>853</v>
      </c>
    </row>
    <row r="148" spans="1:3" ht="15.75" thickBot="1" x14ac:dyDescent="0.3">
      <c r="A148" s="64" t="s">
        <v>346</v>
      </c>
      <c r="B148" s="65" t="s">
        <v>371</v>
      </c>
      <c r="C148" s="66">
        <v>856</v>
      </c>
    </row>
    <row r="149" spans="1:3" ht="15.75" thickBot="1" x14ac:dyDescent="0.3">
      <c r="A149" s="64" t="s">
        <v>661</v>
      </c>
      <c r="B149" s="65" t="s">
        <v>372</v>
      </c>
      <c r="C149" s="66">
        <v>855</v>
      </c>
    </row>
    <row r="150" spans="1:3" ht="15.75" thickBot="1" x14ac:dyDescent="0.3">
      <c r="A150" s="64" t="s">
        <v>346</v>
      </c>
      <c r="B150" s="65" t="s">
        <v>373</v>
      </c>
      <c r="C150" s="66">
        <v>861</v>
      </c>
    </row>
    <row r="151" spans="1:3" ht="15.75" thickBot="1" x14ac:dyDescent="0.3">
      <c r="A151" s="64" t="s">
        <v>346</v>
      </c>
      <c r="B151" s="65" t="s">
        <v>374</v>
      </c>
      <c r="C151" s="66">
        <v>857</v>
      </c>
    </row>
    <row r="152" spans="1:3" ht="15.75" thickBot="1" x14ac:dyDescent="0.3">
      <c r="A152" s="64" t="s">
        <v>346</v>
      </c>
      <c r="B152" s="65" t="s">
        <v>375</v>
      </c>
      <c r="C152" s="66">
        <v>859</v>
      </c>
    </row>
    <row r="153" spans="1:3" ht="15.75" thickBot="1" x14ac:dyDescent="0.3">
      <c r="A153" s="64" t="s">
        <v>658</v>
      </c>
      <c r="B153" s="65" t="s">
        <v>376</v>
      </c>
      <c r="C153" s="66">
        <v>863</v>
      </c>
    </row>
    <row r="154" spans="1:3" ht="15.75" thickBot="1" x14ac:dyDescent="0.3">
      <c r="A154" s="64" t="s">
        <v>346</v>
      </c>
      <c r="B154" s="65" t="s">
        <v>377</v>
      </c>
      <c r="C154" s="66">
        <v>865</v>
      </c>
    </row>
    <row r="155" spans="1:3" ht="15.75" thickBot="1" x14ac:dyDescent="0.3">
      <c r="A155" s="64" t="s">
        <v>278</v>
      </c>
      <c r="B155" s="65" t="s">
        <v>378</v>
      </c>
      <c r="C155" s="66">
        <v>235</v>
      </c>
    </row>
    <row r="156" spans="1:3" ht="15.75" thickBot="1" x14ac:dyDescent="0.3">
      <c r="A156" s="64" t="s">
        <v>269</v>
      </c>
      <c r="B156" s="65" t="s">
        <v>379</v>
      </c>
      <c r="C156" s="66">
        <v>236</v>
      </c>
    </row>
    <row r="157" spans="1:3" ht="15.75" thickBot="1" x14ac:dyDescent="0.3">
      <c r="A157" s="64" t="s">
        <v>654</v>
      </c>
      <c r="B157" s="65" t="s">
        <v>380</v>
      </c>
      <c r="C157" s="66">
        <v>871</v>
      </c>
    </row>
    <row r="158" spans="1:3" ht="15.75" thickBot="1" x14ac:dyDescent="0.3">
      <c r="A158" s="64" t="s">
        <v>657</v>
      </c>
      <c r="B158" s="65" t="s">
        <v>381</v>
      </c>
      <c r="C158" s="66">
        <v>875</v>
      </c>
    </row>
    <row r="159" spans="1:3" ht="15.75" thickBot="1" x14ac:dyDescent="0.3">
      <c r="A159" s="64" t="s">
        <v>658</v>
      </c>
      <c r="B159" s="65" t="s">
        <v>382</v>
      </c>
      <c r="C159" s="66">
        <v>879</v>
      </c>
    </row>
    <row r="160" spans="1:3" ht="15.75" thickBot="1" x14ac:dyDescent="0.3">
      <c r="A160" s="64" t="s">
        <v>264</v>
      </c>
      <c r="B160" s="65" t="s">
        <v>383</v>
      </c>
      <c r="C160" s="66">
        <v>248</v>
      </c>
    </row>
    <row r="161" spans="1:3" ht="15.75" thickBot="1" x14ac:dyDescent="0.3">
      <c r="A161" s="64" t="s">
        <v>269</v>
      </c>
      <c r="B161" s="65" t="s">
        <v>384</v>
      </c>
      <c r="C161" s="66">
        <v>238</v>
      </c>
    </row>
    <row r="162" spans="1:3" ht="15.75" thickBot="1" x14ac:dyDescent="0.3">
      <c r="A162" s="64" t="s">
        <v>278</v>
      </c>
      <c r="B162" s="65" t="s">
        <v>385</v>
      </c>
      <c r="C162" s="66">
        <v>241</v>
      </c>
    </row>
    <row r="163" spans="1:3" ht="15.75" thickBot="1" x14ac:dyDescent="0.3">
      <c r="A163" s="64" t="s">
        <v>661</v>
      </c>
      <c r="B163" s="65" t="s">
        <v>386</v>
      </c>
      <c r="C163" s="66">
        <v>914</v>
      </c>
    </row>
    <row r="164" spans="1:3" ht="15.75" thickBot="1" x14ac:dyDescent="0.3">
      <c r="A164" s="64" t="s">
        <v>264</v>
      </c>
      <c r="B164" s="65" t="s">
        <v>387</v>
      </c>
      <c r="C164" s="66">
        <v>242</v>
      </c>
    </row>
    <row r="165" spans="1:3" ht="15.75" thickBot="1" x14ac:dyDescent="0.3">
      <c r="A165" s="64" t="s">
        <v>264</v>
      </c>
      <c r="B165" s="65" t="s">
        <v>388</v>
      </c>
      <c r="C165" s="66">
        <v>244</v>
      </c>
    </row>
    <row r="166" spans="1:3" ht="15.75" thickBot="1" x14ac:dyDescent="0.3">
      <c r="A166" s="64" t="s">
        <v>223</v>
      </c>
      <c r="B166" s="65" t="s">
        <v>389</v>
      </c>
      <c r="C166" s="66">
        <v>245</v>
      </c>
    </row>
    <row r="167" spans="1:3" ht="15.75" thickBot="1" x14ac:dyDescent="0.3">
      <c r="A167" s="64" t="s">
        <v>661</v>
      </c>
      <c r="B167" s="65" t="s">
        <v>390</v>
      </c>
      <c r="C167" s="66">
        <v>888</v>
      </c>
    </row>
    <row r="168" spans="1:3" ht="15.75" thickBot="1" x14ac:dyDescent="0.3">
      <c r="A168" s="64" t="s">
        <v>266</v>
      </c>
      <c r="B168" s="65" t="s">
        <v>391</v>
      </c>
      <c r="C168" s="66">
        <v>250</v>
      </c>
    </row>
    <row r="169" spans="1:3" ht="15.75" thickBot="1" x14ac:dyDescent="0.3">
      <c r="A169" s="64" t="s">
        <v>658</v>
      </c>
      <c r="B169" s="65" t="s">
        <v>392</v>
      </c>
      <c r="C169" s="66">
        <v>890</v>
      </c>
    </row>
    <row r="170" spans="1:3" ht="15.75" thickBot="1" x14ac:dyDescent="0.3">
      <c r="A170" s="64" t="s">
        <v>661</v>
      </c>
      <c r="B170" s="65" t="s">
        <v>393</v>
      </c>
      <c r="C170" s="66">
        <v>892</v>
      </c>
    </row>
    <row r="171" spans="1:3" ht="15.75" thickBot="1" x14ac:dyDescent="0.3">
      <c r="A171" s="64" t="s">
        <v>266</v>
      </c>
      <c r="B171" s="65" t="s">
        <v>394</v>
      </c>
      <c r="C171" s="66">
        <v>260</v>
      </c>
    </row>
    <row r="172" spans="1:3" ht="15.75" thickBot="1" x14ac:dyDescent="0.3">
      <c r="A172" s="64" t="s">
        <v>657</v>
      </c>
      <c r="B172" s="65" t="s">
        <v>395</v>
      </c>
      <c r="C172" s="66">
        <v>893</v>
      </c>
    </row>
    <row r="173" spans="1:3" ht="15.75" thickBot="1" x14ac:dyDescent="0.3">
      <c r="A173" s="64" t="s">
        <v>273</v>
      </c>
      <c r="B173" s="65" t="s">
        <v>396</v>
      </c>
      <c r="C173" s="66">
        <v>261</v>
      </c>
    </row>
    <row r="174" spans="1:3" ht="15.75" thickBot="1" x14ac:dyDescent="0.3">
      <c r="A174" s="64" t="s">
        <v>656</v>
      </c>
      <c r="B174" s="65" t="s">
        <v>397</v>
      </c>
      <c r="C174" s="66">
        <v>915</v>
      </c>
    </row>
    <row r="175" spans="1:3" ht="15.75" thickBot="1" x14ac:dyDescent="0.3">
      <c r="A175" s="64" t="s">
        <v>269</v>
      </c>
      <c r="B175" s="65" t="s">
        <v>398</v>
      </c>
      <c r="C175" s="66">
        <v>264</v>
      </c>
    </row>
    <row r="176" spans="1:3" ht="15.75" thickBot="1" x14ac:dyDescent="0.3">
      <c r="A176" s="64" t="s">
        <v>655</v>
      </c>
      <c r="B176" s="65" t="s">
        <v>399</v>
      </c>
      <c r="C176" s="66">
        <v>916</v>
      </c>
    </row>
    <row r="177" spans="1:3" ht="15.75" thickBot="1" x14ac:dyDescent="0.3">
      <c r="A177" s="64" t="s">
        <v>656</v>
      </c>
      <c r="B177" s="65" t="s">
        <v>400</v>
      </c>
      <c r="C177" s="66">
        <v>896</v>
      </c>
    </row>
    <row r="178" spans="1:3" ht="15.75" thickBot="1" x14ac:dyDescent="0.3">
      <c r="A178" s="64" t="s">
        <v>223</v>
      </c>
      <c r="B178" s="65" t="s">
        <v>401</v>
      </c>
      <c r="C178" s="66">
        <v>273</v>
      </c>
    </row>
    <row r="179" spans="1:3" ht="15.75" thickBot="1" x14ac:dyDescent="0.3">
      <c r="A179" s="64" t="s">
        <v>273</v>
      </c>
      <c r="B179" s="65" t="s">
        <v>402</v>
      </c>
      <c r="C179" s="66">
        <v>35</v>
      </c>
    </row>
    <row r="180" spans="1:3" ht="15.75" thickBot="1" x14ac:dyDescent="0.3">
      <c r="A180" s="64" t="s">
        <v>264</v>
      </c>
      <c r="B180" s="65" t="s">
        <v>403</v>
      </c>
      <c r="C180" s="66">
        <v>36</v>
      </c>
    </row>
    <row r="181" spans="1:3" ht="15.75" thickBot="1" x14ac:dyDescent="0.3">
      <c r="A181" s="64" t="s">
        <v>225</v>
      </c>
      <c r="B181" s="65" t="s">
        <v>404</v>
      </c>
      <c r="C181" s="66">
        <v>37</v>
      </c>
    </row>
    <row r="182" spans="1:3" ht="15.75" thickBot="1" x14ac:dyDescent="0.3">
      <c r="A182" s="64" t="s">
        <v>223</v>
      </c>
      <c r="B182" s="65" t="s">
        <v>405</v>
      </c>
      <c r="C182" s="66">
        <v>38</v>
      </c>
    </row>
    <row r="183" spans="1:3" ht="15.75" thickBot="1" x14ac:dyDescent="0.3">
      <c r="A183" s="64" t="s">
        <v>221</v>
      </c>
      <c r="B183" s="65" t="s">
        <v>406</v>
      </c>
      <c r="C183" s="66">
        <v>39</v>
      </c>
    </row>
    <row r="184" spans="1:3" ht="15.75" thickBot="1" x14ac:dyDescent="0.3">
      <c r="A184" s="64" t="s">
        <v>269</v>
      </c>
      <c r="B184" s="65" t="s">
        <v>407</v>
      </c>
      <c r="C184" s="66">
        <v>40</v>
      </c>
    </row>
    <row r="185" spans="1:3" ht="15.75" thickBot="1" x14ac:dyDescent="0.3">
      <c r="A185" s="64" t="s">
        <v>216</v>
      </c>
      <c r="B185" s="65" t="s">
        <v>408</v>
      </c>
      <c r="C185" s="66">
        <v>41</v>
      </c>
    </row>
    <row r="186" spans="1:3" ht="15.75" thickBot="1" x14ac:dyDescent="0.3">
      <c r="A186" s="64" t="s">
        <v>278</v>
      </c>
      <c r="B186" s="65" t="s">
        <v>409</v>
      </c>
      <c r="C186" s="66">
        <v>42</v>
      </c>
    </row>
    <row r="187" spans="1:3" ht="15.75" thickBot="1" x14ac:dyDescent="0.3">
      <c r="A187" s="64" t="s">
        <v>266</v>
      </c>
      <c r="B187" s="65" t="s">
        <v>410</v>
      </c>
      <c r="C187" s="66">
        <v>43</v>
      </c>
    </row>
    <row r="188" spans="1:3" ht="15.75" thickBot="1" x14ac:dyDescent="0.3">
      <c r="A188" s="64" t="s">
        <v>266</v>
      </c>
      <c r="B188" s="65" t="s">
        <v>411</v>
      </c>
      <c r="C188" s="66">
        <v>44</v>
      </c>
    </row>
    <row r="189" spans="1:3" ht="15.75" thickBot="1" x14ac:dyDescent="0.3">
      <c r="A189" s="64" t="s">
        <v>661</v>
      </c>
      <c r="B189" s="65" t="s">
        <v>412</v>
      </c>
      <c r="C189" s="66">
        <v>4002</v>
      </c>
    </row>
    <row r="190" spans="1:3" ht="15.75" thickBot="1" x14ac:dyDescent="0.3">
      <c r="A190" s="64" t="s">
        <v>269</v>
      </c>
      <c r="B190" s="65" t="s">
        <v>413</v>
      </c>
      <c r="C190" s="66">
        <v>277</v>
      </c>
    </row>
    <row r="191" spans="1:3" ht="15.75" thickBot="1" x14ac:dyDescent="0.3">
      <c r="A191" s="64" t="s">
        <v>658</v>
      </c>
      <c r="B191" s="65" t="s">
        <v>414</v>
      </c>
      <c r="C191" s="66">
        <v>4004</v>
      </c>
    </row>
    <row r="192" spans="1:3" ht="15.75" thickBot="1" x14ac:dyDescent="0.3">
      <c r="A192" s="64" t="s">
        <v>658</v>
      </c>
      <c r="B192" s="65" t="s">
        <v>415</v>
      </c>
      <c r="C192" s="66">
        <v>4005</v>
      </c>
    </row>
    <row r="193" spans="1:3" ht="15.75" thickBot="1" x14ac:dyDescent="0.3">
      <c r="A193" s="64" t="s">
        <v>273</v>
      </c>
      <c r="B193" s="65" t="s">
        <v>416</v>
      </c>
      <c r="C193" s="66">
        <v>285</v>
      </c>
    </row>
    <row r="194" spans="1:3" ht="15.75" thickBot="1" x14ac:dyDescent="0.3">
      <c r="A194" s="64" t="s">
        <v>266</v>
      </c>
      <c r="B194" s="65" t="s">
        <v>417</v>
      </c>
      <c r="C194" s="66">
        <v>286</v>
      </c>
    </row>
    <row r="195" spans="1:3" ht="15.75" thickBot="1" x14ac:dyDescent="0.3">
      <c r="A195" s="64" t="s">
        <v>262</v>
      </c>
      <c r="B195" s="65" t="s">
        <v>418</v>
      </c>
      <c r="C195" s="66">
        <v>288</v>
      </c>
    </row>
    <row r="196" spans="1:3" ht="15.75" thickBot="1" x14ac:dyDescent="0.3">
      <c r="A196" s="64" t="s">
        <v>266</v>
      </c>
      <c r="B196" s="65" t="s">
        <v>419</v>
      </c>
      <c r="C196" s="66">
        <v>289</v>
      </c>
    </row>
    <row r="197" spans="1:3" ht="15.75" thickBot="1" x14ac:dyDescent="0.3">
      <c r="A197" s="64" t="s">
        <v>223</v>
      </c>
      <c r="B197" s="65" t="s">
        <v>420</v>
      </c>
      <c r="C197" s="66">
        <v>290</v>
      </c>
    </row>
    <row r="198" spans="1:3" ht="15.75" thickBot="1" x14ac:dyDescent="0.3">
      <c r="A198" s="64" t="s">
        <v>223</v>
      </c>
      <c r="B198" s="65" t="s">
        <v>421</v>
      </c>
      <c r="C198" s="66">
        <v>291</v>
      </c>
    </row>
    <row r="199" spans="1:3" ht="15.75" thickBot="1" x14ac:dyDescent="0.3">
      <c r="A199" s="64" t="s">
        <v>661</v>
      </c>
      <c r="B199" s="65" t="s">
        <v>422</v>
      </c>
      <c r="C199" s="66">
        <v>4007</v>
      </c>
    </row>
    <row r="200" spans="1:3" ht="15.75" thickBot="1" x14ac:dyDescent="0.3">
      <c r="A200" s="64" t="s">
        <v>346</v>
      </c>
      <c r="B200" s="65" t="s">
        <v>423</v>
      </c>
      <c r="C200" s="66">
        <v>8002</v>
      </c>
    </row>
    <row r="201" spans="1:3" ht="15.75" thickBot="1" x14ac:dyDescent="0.3">
      <c r="A201" s="64" t="s">
        <v>346</v>
      </c>
      <c r="B201" s="65" t="s">
        <v>424</v>
      </c>
      <c r="C201" s="66">
        <v>8004</v>
      </c>
    </row>
    <row r="202" spans="1:3" ht="15.75" thickBot="1" x14ac:dyDescent="0.3">
      <c r="A202" s="64" t="s">
        <v>264</v>
      </c>
      <c r="B202" s="65" t="s">
        <v>425</v>
      </c>
      <c r="C202" s="66">
        <v>294</v>
      </c>
    </row>
    <row r="203" spans="1:3" ht="15.75" thickBot="1" x14ac:dyDescent="0.3">
      <c r="A203" s="64" t="s">
        <v>264</v>
      </c>
      <c r="B203" s="65" t="s">
        <v>426</v>
      </c>
      <c r="C203" s="66">
        <v>296</v>
      </c>
    </row>
    <row r="204" spans="1:3" ht="15.75" thickBot="1" x14ac:dyDescent="0.3">
      <c r="A204" s="64" t="s">
        <v>273</v>
      </c>
      <c r="B204" s="65" t="s">
        <v>427</v>
      </c>
      <c r="C204" s="66">
        <v>298</v>
      </c>
    </row>
    <row r="205" spans="1:3" ht="15.75" thickBot="1" x14ac:dyDescent="0.3">
      <c r="A205" s="64" t="s">
        <v>656</v>
      </c>
      <c r="B205" s="65" t="s">
        <v>428</v>
      </c>
      <c r="C205" s="66">
        <v>4008</v>
      </c>
    </row>
    <row r="206" spans="1:3" ht="15.75" thickBot="1" x14ac:dyDescent="0.3">
      <c r="A206" s="64" t="s">
        <v>654</v>
      </c>
      <c r="B206" s="65" t="s">
        <v>429</v>
      </c>
      <c r="C206" s="66">
        <v>4009</v>
      </c>
    </row>
    <row r="207" spans="1:3" ht="15.75" thickBot="1" x14ac:dyDescent="0.3">
      <c r="A207" s="64" t="s">
        <v>225</v>
      </c>
      <c r="B207" s="65" t="s">
        <v>430</v>
      </c>
      <c r="C207" s="66">
        <v>2004</v>
      </c>
    </row>
    <row r="208" spans="1:3" ht="15.75" thickBot="1" x14ac:dyDescent="0.3">
      <c r="A208" s="65" t="s">
        <v>225</v>
      </c>
      <c r="B208" s="65" t="s">
        <v>431</v>
      </c>
      <c r="C208" s="66">
        <v>2006</v>
      </c>
    </row>
    <row r="209" spans="1:3" ht="15.75" thickBot="1" x14ac:dyDescent="0.3">
      <c r="A209" s="65" t="s">
        <v>225</v>
      </c>
      <c r="B209" s="65" t="s">
        <v>432</v>
      </c>
      <c r="C209" s="66">
        <v>2007</v>
      </c>
    </row>
    <row r="210" spans="1:3" ht="15.75" thickBot="1" x14ac:dyDescent="0.3">
      <c r="A210" s="65" t="s">
        <v>273</v>
      </c>
      <c r="B210" s="65" t="s">
        <v>433</v>
      </c>
      <c r="C210" s="66">
        <v>46</v>
      </c>
    </row>
    <row r="211" spans="1:3" ht="15.75" thickBot="1" x14ac:dyDescent="0.3">
      <c r="A211" s="65" t="s">
        <v>218</v>
      </c>
      <c r="B211" s="65" t="s">
        <v>434</v>
      </c>
      <c r="C211" s="66">
        <v>47</v>
      </c>
    </row>
    <row r="212" spans="1:3" ht="15.75" thickBot="1" x14ac:dyDescent="0.3">
      <c r="A212" s="65" t="s">
        <v>216</v>
      </c>
      <c r="B212" s="65" t="s">
        <v>435</v>
      </c>
      <c r="C212" s="66">
        <v>48</v>
      </c>
    </row>
    <row r="213" spans="1:3" ht="15.75" thickBot="1" x14ac:dyDescent="0.3">
      <c r="A213" s="65" t="s">
        <v>225</v>
      </c>
      <c r="B213" s="65" t="s">
        <v>436</v>
      </c>
      <c r="C213" s="66">
        <v>49</v>
      </c>
    </row>
    <row r="214" spans="1:3" ht="15.75" thickBot="1" x14ac:dyDescent="0.3">
      <c r="A214" s="65" t="s">
        <v>262</v>
      </c>
      <c r="B214" s="65" t="s">
        <v>437</v>
      </c>
      <c r="C214" s="66">
        <v>50</v>
      </c>
    </row>
    <row r="215" spans="1:3" ht="15.75" thickBot="1" x14ac:dyDescent="0.3">
      <c r="A215" s="65" t="s">
        <v>225</v>
      </c>
      <c r="B215" s="65" t="s">
        <v>438</v>
      </c>
      <c r="C215" s="66">
        <v>53</v>
      </c>
    </row>
    <row r="216" spans="1:3" ht="15.75" thickBot="1" x14ac:dyDescent="0.3">
      <c r="A216" s="65" t="s">
        <v>439</v>
      </c>
      <c r="B216" s="65" t="s">
        <v>440</v>
      </c>
      <c r="C216" s="66">
        <v>54</v>
      </c>
    </row>
    <row r="217" spans="1:3" ht="15.75" thickBot="1" x14ac:dyDescent="0.3">
      <c r="A217" s="64" t="s">
        <v>264</v>
      </c>
      <c r="B217" s="65" t="s">
        <v>441</v>
      </c>
      <c r="C217" s="66">
        <v>55</v>
      </c>
    </row>
    <row r="218" spans="1:3" ht="15.75" thickBot="1" x14ac:dyDescent="0.3">
      <c r="A218" s="64" t="s">
        <v>264</v>
      </c>
      <c r="B218" s="65" t="s">
        <v>442</v>
      </c>
      <c r="C218" s="66">
        <v>57</v>
      </c>
    </row>
    <row r="219" spans="1:3" ht="15.75" thickBot="1" x14ac:dyDescent="0.3">
      <c r="A219" s="64" t="s">
        <v>264</v>
      </c>
      <c r="B219" s="65" t="s">
        <v>443</v>
      </c>
      <c r="C219" s="66">
        <v>59</v>
      </c>
    </row>
    <row r="220" spans="1:3" ht="15.75" thickBot="1" x14ac:dyDescent="0.3">
      <c r="A220" s="65" t="s">
        <v>225</v>
      </c>
      <c r="B220" s="65" t="s">
        <v>444</v>
      </c>
      <c r="C220" s="66">
        <v>4</v>
      </c>
    </row>
    <row r="221" spans="1:3" ht="15.75" thickBot="1" x14ac:dyDescent="0.3">
      <c r="A221" s="65" t="s">
        <v>266</v>
      </c>
      <c r="B221" s="65" t="s">
        <v>445</v>
      </c>
      <c r="C221" s="66">
        <v>10</v>
      </c>
    </row>
    <row r="222" spans="1:3" ht="15.75" thickBot="1" x14ac:dyDescent="0.3">
      <c r="A222" s="65" t="s">
        <v>656</v>
      </c>
      <c r="B222" s="65" t="s">
        <v>446</v>
      </c>
      <c r="C222" s="66">
        <v>4016</v>
      </c>
    </row>
    <row r="223" spans="1:3" ht="15.75" thickBot="1" x14ac:dyDescent="0.3">
      <c r="A223" s="65" t="s">
        <v>278</v>
      </c>
      <c r="B223" s="65" t="s">
        <v>447</v>
      </c>
      <c r="C223" s="66">
        <v>2010</v>
      </c>
    </row>
    <row r="224" spans="1:3" ht="15.75" thickBot="1" x14ac:dyDescent="0.3">
      <c r="A224" s="65" t="s">
        <v>439</v>
      </c>
      <c r="B224" s="65" t="s">
        <v>448</v>
      </c>
      <c r="C224" s="66">
        <v>62</v>
      </c>
    </row>
    <row r="225" spans="1:3" ht="15.75" thickBot="1" x14ac:dyDescent="0.3">
      <c r="A225" s="65" t="s">
        <v>346</v>
      </c>
      <c r="B225" s="65" t="s">
        <v>449</v>
      </c>
      <c r="C225" s="66">
        <v>8008</v>
      </c>
    </row>
    <row r="226" spans="1:3" ht="15.75" thickBot="1" x14ac:dyDescent="0.3">
      <c r="A226" s="65" t="s">
        <v>658</v>
      </c>
      <c r="B226" s="65" t="s">
        <v>450</v>
      </c>
      <c r="C226" s="66">
        <v>4017</v>
      </c>
    </row>
    <row r="227" spans="1:3" ht="15.75" thickBot="1" x14ac:dyDescent="0.3">
      <c r="A227" s="65" t="s">
        <v>439</v>
      </c>
      <c r="B227" s="65" t="s">
        <v>451</v>
      </c>
      <c r="C227" s="66">
        <v>63</v>
      </c>
    </row>
    <row r="228" spans="1:3" ht="15.75" thickBot="1" x14ac:dyDescent="0.3">
      <c r="A228" s="65" t="s">
        <v>266</v>
      </c>
      <c r="B228" s="65" t="s">
        <v>452</v>
      </c>
      <c r="C228" s="66">
        <v>65</v>
      </c>
    </row>
    <row r="229" spans="1:3" ht="15.75" thickBot="1" x14ac:dyDescent="0.3">
      <c r="A229" s="65" t="s">
        <v>273</v>
      </c>
      <c r="B229" s="65" t="s">
        <v>453</v>
      </c>
      <c r="C229" s="66">
        <v>67</v>
      </c>
    </row>
    <row r="230" spans="1:3" ht="15.75" thickBot="1" x14ac:dyDescent="0.3">
      <c r="A230" s="65" t="s">
        <v>346</v>
      </c>
      <c r="B230" s="65" t="s">
        <v>454</v>
      </c>
      <c r="C230" s="66">
        <v>8010</v>
      </c>
    </row>
    <row r="231" spans="1:3" ht="15.75" thickBot="1" x14ac:dyDescent="0.3">
      <c r="A231" s="65" t="s">
        <v>346</v>
      </c>
      <c r="B231" s="65" t="s">
        <v>455</v>
      </c>
      <c r="C231" s="66">
        <v>8011</v>
      </c>
    </row>
    <row r="232" spans="1:3" ht="15.75" thickBot="1" x14ac:dyDescent="0.3">
      <c r="A232" s="65" t="s">
        <v>223</v>
      </c>
      <c r="B232" s="65" t="s">
        <v>456</v>
      </c>
      <c r="C232" s="66">
        <v>68</v>
      </c>
    </row>
    <row r="233" spans="1:3" ht="15.75" thickBot="1" x14ac:dyDescent="0.3">
      <c r="A233" s="65" t="s">
        <v>346</v>
      </c>
      <c r="B233" s="65" t="s">
        <v>457</v>
      </c>
      <c r="C233" s="66">
        <v>8012</v>
      </c>
    </row>
    <row r="234" spans="1:3" ht="15.75" thickBot="1" x14ac:dyDescent="0.3">
      <c r="A234" s="65" t="s">
        <v>216</v>
      </c>
      <c r="B234" s="65" t="s">
        <v>458</v>
      </c>
      <c r="C234" s="66">
        <v>69</v>
      </c>
    </row>
    <row r="235" spans="1:3" ht="15.75" thickBot="1" x14ac:dyDescent="0.3">
      <c r="A235" s="65" t="s">
        <v>654</v>
      </c>
      <c r="B235" s="65" t="s">
        <v>459</v>
      </c>
      <c r="C235" s="66">
        <v>4020</v>
      </c>
    </row>
    <row r="236" spans="1:3" ht="15.75" thickBot="1" x14ac:dyDescent="0.3">
      <c r="A236" s="65" t="s">
        <v>654</v>
      </c>
      <c r="B236" s="65" t="s">
        <v>460</v>
      </c>
      <c r="C236" s="66">
        <v>4022</v>
      </c>
    </row>
    <row r="237" spans="1:3" ht="15.75" thickBot="1" x14ac:dyDescent="0.3">
      <c r="A237" s="65" t="s">
        <v>439</v>
      </c>
      <c r="B237" s="65" t="s">
        <v>461</v>
      </c>
      <c r="C237" s="66">
        <v>72</v>
      </c>
    </row>
    <row r="238" spans="1:3" ht="15.75" thickBot="1" x14ac:dyDescent="0.3">
      <c r="A238" s="65" t="s">
        <v>223</v>
      </c>
      <c r="B238" s="65" t="s">
        <v>462</v>
      </c>
      <c r="C238" s="66">
        <v>2013</v>
      </c>
    </row>
    <row r="239" spans="1:3" ht="15.75" thickBot="1" x14ac:dyDescent="0.3">
      <c r="A239" s="65" t="s">
        <v>439</v>
      </c>
      <c r="B239" s="65" t="s">
        <v>463</v>
      </c>
      <c r="C239" s="66">
        <v>73</v>
      </c>
    </row>
    <row r="240" spans="1:3" ht="15.75" thickBot="1" x14ac:dyDescent="0.3">
      <c r="A240" s="65" t="s">
        <v>221</v>
      </c>
      <c r="B240" s="65" t="s">
        <v>464</v>
      </c>
      <c r="C240" s="66">
        <v>2014</v>
      </c>
    </row>
    <row r="241" spans="1:3" ht="15.75" thickBot="1" x14ac:dyDescent="0.3">
      <c r="A241" s="65" t="s">
        <v>658</v>
      </c>
      <c r="B241" s="65" t="s">
        <v>465</v>
      </c>
      <c r="C241" s="66">
        <v>4025</v>
      </c>
    </row>
    <row r="242" spans="1:3" ht="15.75" thickBot="1" x14ac:dyDescent="0.3">
      <c r="A242" s="65" t="s">
        <v>346</v>
      </c>
      <c r="B242" s="65" t="s">
        <v>466</v>
      </c>
      <c r="C242" s="66">
        <v>4024</v>
      </c>
    </row>
    <row r="243" spans="1:3" ht="15.75" thickBot="1" x14ac:dyDescent="0.3">
      <c r="A243" s="65" t="s">
        <v>657</v>
      </c>
      <c r="B243" s="65" t="s">
        <v>467</v>
      </c>
      <c r="C243" s="66">
        <v>4026</v>
      </c>
    </row>
    <row r="244" spans="1:3" ht="15.75" thickBot="1" x14ac:dyDescent="0.3">
      <c r="A244" s="65" t="s">
        <v>216</v>
      </c>
      <c r="B244" s="65" t="s">
        <v>468</v>
      </c>
      <c r="C244" s="66">
        <v>2016</v>
      </c>
    </row>
    <row r="245" spans="1:3" ht="15.75" thickBot="1" x14ac:dyDescent="0.3">
      <c r="A245" s="65" t="s">
        <v>657</v>
      </c>
      <c r="B245" s="65" t="s">
        <v>469</v>
      </c>
      <c r="C245" s="66">
        <v>4027</v>
      </c>
    </row>
    <row r="246" spans="1:3" ht="15.75" thickBot="1" x14ac:dyDescent="0.3">
      <c r="A246" s="65" t="s">
        <v>661</v>
      </c>
      <c r="B246" s="65" t="s">
        <v>470</v>
      </c>
      <c r="C246" s="66">
        <v>4028</v>
      </c>
    </row>
    <row r="247" spans="1:3" ht="15.75" thickBot="1" x14ac:dyDescent="0.3">
      <c r="A247" s="65" t="s">
        <v>346</v>
      </c>
      <c r="B247" s="65" t="s">
        <v>471</v>
      </c>
      <c r="C247" s="66">
        <v>8015</v>
      </c>
    </row>
    <row r="248" spans="1:3" ht="15.75" thickBot="1" x14ac:dyDescent="0.3">
      <c r="A248" s="65" t="s">
        <v>346</v>
      </c>
      <c r="B248" s="65" t="s">
        <v>472</v>
      </c>
      <c r="C248" s="66">
        <v>8014</v>
      </c>
    </row>
    <row r="249" spans="1:3" ht="15.75" thickBot="1" x14ac:dyDescent="0.3">
      <c r="A249" s="64" t="s">
        <v>264</v>
      </c>
      <c r="B249" s="65" t="s">
        <v>473</v>
      </c>
      <c r="C249" s="66">
        <v>2017</v>
      </c>
    </row>
    <row r="250" spans="1:3" ht="15.75" thickBot="1" x14ac:dyDescent="0.3">
      <c r="A250" s="65" t="s">
        <v>221</v>
      </c>
      <c r="B250" s="65" t="s">
        <v>474</v>
      </c>
      <c r="C250" s="66">
        <v>4</v>
      </c>
    </row>
    <row r="251" spans="1:3" ht="15.75" thickBot="1" x14ac:dyDescent="0.3">
      <c r="A251" s="65" t="s">
        <v>262</v>
      </c>
      <c r="B251" s="65" t="s">
        <v>475</v>
      </c>
      <c r="C251" s="66">
        <v>77</v>
      </c>
    </row>
    <row r="252" spans="1:3" ht="15.75" thickBot="1" x14ac:dyDescent="0.3">
      <c r="A252" s="65" t="s">
        <v>658</v>
      </c>
      <c r="B252" s="65" t="s">
        <v>476</v>
      </c>
      <c r="C252" s="66">
        <v>4031</v>
      </c>
    </row>
    <row r="253" spans="1:3" ht="15.75" thickBot="1" x14ac:dyDescent="0.3">
      <c r="A253" s="65" t="s">
        <v>658</v>
      </c>
      <c r="B253" s="65" t="s">
        <v>477</v>
      </c>
      <c r="C253" s="66">
        <v>4032</v>
      </c>
    </row>
    <row r="254" spans="1:3" ht="15.75" thickBot="1" x14ac:dyDescent="0.3">
      <c r="A254" s="65" t="s">
        <v>273</v>
      </c>
      <c r="B254" s="65" t="s">
        <v>478</v>
      </c>
      <c r="C254" s="66">
        <v>78</v>
      </c>
    </row>
    <row r="255" spans="1:3" ht="15.75" thickBot="1" x14ac:dyDescent="0.3">
      <c r="A255" s="65" t="s">
        <v>657</v>
      </c>
      <c r="B255" s="65" t="s">
        <v>479</v>
      </c>
      <c r="C255" s="66">
        <v>4034</v>
      </c>
    </row>
    <row r="256" spans="1:3" ht="15.75" thickBot="1" x14ac:dyDescent="0.3">
      <c r="A256" s="65" t="s">
        <v>223</v>
      </c>
      <c r="B256" s="65" t="s">
        <v>480</v>
      </c>
      <c r="C256" s="66">
        <v>2018</v>
      </c>
    </row>
    <row r="257" spans="1:3" ht="15.75" thickBot="1" x14ac:dyDescent="0.3">
      <c r="A257" s="65" t="s">
        <v>278</v>
      </c>
      <c r="B257" s="65" t="s">
        <v>481</v>
      </c>
      <c r="C257" s="66">
        <v>2021</v>
      </c>
    </row>
    <row r="258" spans="1:3" ht="15.75" thickBot="1" x14ac:dyDescent="0.3">
      <c r="A258" s="65" t="s">
        <v>221</v>
      </c>
      <c r="B258" s="65" t="s">
        <v>482</v>
      </c>
      <c r="C258" s="66">
        <v>2020</v>
      </c>
    </row>
    <row r="259" spans="1:3" ht="15.75" thickBot="1" x14ac:dyDescent="0.3">
      <c r="A259" s="65" t="s">
        <v>273</v>
      </c>
      <c r="B259" s="65" t="s">
        <v>483</v>
      </c>
      <c r="C259" s="66">
        <v>2022</v>
      </c>
    </row>
    <row r="260" spans="1:3" ht="15.75" thickBot="1" x14ac:dyDescent="0.3">
      <c r="A260" s="65" t="s">
        <v>656</v>
      </c>
      <c r="B260" s="65" t="s">
        <v>484</v>
      </c>
      <c r="C260" s="66">
        <v>919</v>
      </c>
    </row>
    <row r="261" spans="1:3" ht="15.75" thickBot="1" x14ac:dyDescent="0.3">
      <c r="A261" s="65" t="s">
        <v>658</v>
      </c>
      <c r="B261" s="65" t="s">
        <v>485</v>
      </c>
      <c r="C261" s="66">
        <v>4037</v>
      </c>
    </row>
    <row r="262" spans="1:3" ht="15.75" thickBot="1" x14ac:dyDescent="0.3">
      <c r="A262" s="65" t="s">
        <v>266</v>
      </c>
      <c r="B262" s="65" t="s">
        <v>486</v>
      </c>
      <c r="C262" s="66">
        <v>2025</v>
      </c>
    </row>
    <row r="263" spans="1:3" ht="15.75" thickBot="1" x14ac:dyDescent="0.3">
      <c r="A263" s="65" t="s">
        <v>218</v>
      </c>
      <c r="B263" s="65" t="s">
        <v>487</v>
      </c>
      <c r="C263" s="66">
        <v>2024</v>
      </c>
    </row>
    <row r="264" spans="1:3" ht="15.75" thickBot="1" x14ac:dyDescent="0.3">
      <c r="A264" s="65" t="s">
        <v>278</v>
      </c>
      <c r="B264" s="65" t="s">
        <v>488</v>
      </c>
      <c r="C264" s="66">
        <v>2019</v>
      </c>
    </row>
    <row r="265" spans="1:3" ht="15.75" thickBot="1" x14ac:dyDescent="0.3">
      <c r="A265" s="65" t="s">
        <v>656</v>
      </c>
      <c r="B265" s="65" t="s">
        <v>489</v>
      </c>
      <c r="C265" s="66">
        <v>922</v>
      </c>
    </row>
    <row r="266" spans="1:3" ht="15.75" thickBot="1" x14ac:dyDescent="0.3">
      <c r="A266" s="65" t="s">
        <v>657</v>
      </c>
      <c r="B266" s="65" t="s">
        <v>490</v>
      </c>
      <c r="C266" s="66">
        <v>923</v>
      </c>
    </row>
    <row r="267" spans="1:3" ht="15.75" thickBot="1" x14ac:dyDescent="0.3">
      <c r="A267" s="65" t="s">
        <v>439</v>
      </c>
      <c r="B267" s="65" t="s">
        <v>491</v>
      </c>
      <c r="C267" s="66">
        <v>81</v>
      </c>
    </row>
    <row r="268" spans="1:3" ht="15.75" thickBot="1" x14ac:dyDescent="0.3">
      <c r="A268" s="65" t="s">
        <v>439</v>
      </c>
      <c r="B268" s="65" t="s">
        <v>492</v>
      </c>
      <c r="C268" s="66">
        <v>82</v>
      </c>
    </row>
    <row r="269" spans="1:3" ht="15.75" thickBot="1" x14ac:dyDescent="0.3">
      <c r="A269" s="64" t="s">
        <v>269</v>
      </c>
      <c r="B269" s="65" t="s">
        <v>493</v>
      </c>
      <c r="C269" s="66">
        <v>2028</v>
      </c>
    </row>
    <row r="270" spans="1:3" ht="15.75" thickBot="1" x14ac:dyDescent="0.3">
      <c r="A270" s="65" t="s">
        <v>223</v>
      </c>
      <c r="B270" s="65" t="s">
        <v>494</v>
      </c>
      <c r="C270" s="66">
        <v>2031</v>
      </c>
    </row>
    <row r="271" spans="1:3" ht="15.75" thickBot="1" x14ac:dyDescent="0.3">
      <c r="A271" s="65" t="s">
        <v>221</v>
      </c>
      <c r="B271" s="65" t="s">
        <v>495</v>
      </c>
      <c r="C271" s="66">
        <v>2038</v>
      </c>
    </row>
    <row r="272" spans="1:3" ht="15.75" thickBot="1" x14ac:dyDescent="0.3">
      <c r="A272" s="65" t="s">
        <v>221</v>
      </c>
      <c r="B272" s="65" t="s">
        <v>496</v>
      </c>
      <c r="C272" s="66">
        <v>2032</v>
      </c>
    </row>
    <row r="273" spans="1:3" ht="15.75" thickBot="1" x14ac:dyDescent="0.3">
      <c r="A273" s="65" t="s">
        <v>278</v>
      </c>
      <c r="B273" s="65" t="s">
        <v>497</v>
      </c>
      <c r="C273" s="66">
        <v>2027</v>
      </c>
    </row>
    <row r="274" spans="1:3" ht="15.75" thickBot="1" x14ac:dyDescent="0.3">
      <c r="A274" s="64" t="s">
        <v>264</v>
      </c>
      <c r="B274" s="65" t="s">
        <v>498</v>
      </c>
      <c r="C274" s="66">
        <v>2030</v>
      </c>
    </row>
    <row r="275" spans="1:3" ht="15.75" thickBot="1" x14ac:dyDescent="0.3">
      <c r="A275" s="65" t="s">
        <v>439</v>
      </c>
      <c r="B275" s="65" t="s">
        <v>499</v>
      </c>
      <c r="C275" s="66">
        <v>83</v>
      </c>
    </row>
    <row r="276" spans="1:3" ht="15.75" thickBot="1" x14ac:dyDescent="0.3">
      <c r="A276" s="65" t="s">
        <v>221</v>
      </c>
      <c r="B276" s="65" t="s">
        <v>500</v>
      </c>
      <c r="C276" s="66">
        <v>2034</v>
      </c>
    </row>
    <row r="277" spans="1:3" ht="15.75" thickBot="1" x14ac:dyDescent="0.3">
      <c r="A277" s="65" t="s">
        <v>273</v>
      </c>
      <c r="B277" s="65" t="s">
        <v>501</v>
      </c>
      <c r="C277" s="66">
        <v>2039</v>
      </c>
    </row>
    <row r="278" spans="1:3" ht="15.75" thickBot="1" x14ac:dyDescent="0.3">
      <c r="A278" s="65" t="s">
        <v>262</v>
      </c>
      <c r="B278" s="65" t="s">
        <v>502</v>
      </c>
      <c r="C278" s="66">
        <v>2037</v>
      </c>
    </row>
    <row r="279" spans="1:3" ht="15.75" thickBot="1" x14ac:dyDescent="0.3">
      <c r="A279" s="65" t="s">
        <v>266</v>
      </c>
      <c r="B279" s="65" t="s">
        <v>503</v>
      </c>
      <c r="C279" s="66">
        <v>2036</v>
      </c>
    </row>
    <row r="280" spans="1:3" ht="15.75" thickBot="1" x14ac:dyDescent="0.3">
      <c r="A280" s="65" t="s">
        <v>266</v>
      </c>
      <c r="B280" s="65" t="s">
        <v>504</v>
      </c>
      <c r="C280" s="66">
        <v>2035</v>
      </c>
    </row>
    <row r="281" spans="1:3" ht="15.75" thickBot="1" x14ac:dyDescent="0.3">
      <c r="A281" s="64" t="s">
        <v>269</v>
      </c>
      <c r="B281" s="65" t="s">
        <v>505</v>
      </c>
      <c r="C281" s="66">
        <v>2033</v>
      </c>
    </row>
    <row r="282" spans="1:3" ht="15.75" thickBot="1" x14ac:dyDescent="0.3">
      <c r="A282" s="65" t="s">
        <v>273</v>
      </c>
      <c r="B282" s="65" t="s">
        <v>506</v>
      </c>
      <c r="C282" s="66">
        <v>2029</v>
      </c>
    </row>
    <row r="283" spans="1:3" ht="15.75" thickBot="1" x14ac:dyDescent="0.3">
      <c r="A283" s="65" t="s">
        <v>439</v>
      </c>
      <c r="B283" s="65" t="s">
        <v>507</v>
      </c>
      <c r="C283" s="66">
        <v>84</v>
      </c>
    </row>
    <row r="284" spans="1:3" ht="15.75" thickBot="1" x14ac:dyDescent="0.3">
      <c r="A284" s="65" t="s">
        <v>661</v>
      </c>
      <c r="B284" s="65" t="s">
        <v>508</v>
      </c>
      <c r="C284" s="66">
        <v>4039</v>
      </c>
    </row>
    <row r="285" spans="1:3" ht="15.75" thickBot="1" x14ac:dyDescent="0.3">
      <c r="A285" s="65" t="s">
        <v>657</v>
      </c>
      <c r="B285" s="65" t="s">
        <v>509</v>
      </c>
      <c r="C285" s="66">
        <v>4040</v>
      </c>
    </row>
    <row r="286" spans="1:3" ht="15.75" thickBot="1" x14ac:dyDescent="0.3">
      <c r="A286" s="65" t="s">
        <v>346</v>
      </c>
      <c r="B286" s="65" t="s">
        <v>510</v>
      </c>
      <c r="C286" s="66">
        <v>8017</v>
      </c>
    </row>
    <row r="287" spans="1:3" ht="15.75" thickBot="1" x14ac:dyDescent="0.3">
      <c r="A287" s="65" t="s">
        <v>658</v>
      </c>
      <c r="B287" s="65" t="s">
        <v>511</v>
      </c>
      <c r="C287" s="66">
        <v>4042</v>
      </c>
    </row>
    <row r="288" spans="1:3" ht="15.75" thickBot="1" x14ac:dyDescent="0.3">
      <c r="A288" s="65" t="s">
        <v>661</v>
      </c>
      <c r="B288" s="65" t="s">
        <v>512</v>
      </c>
      <c r="C288" s="66">
        <v>4043</v>
      </c>
    </row>
    <row r="289" spans="1:3" ht="15.75" thickBot="1" x14ac:dyDescent="0.3">
      <c r="A289" s="65" t="s">
        <v>656</v>
      </c>
      <c r="B289" s="65" t="s">
        <v>513</v>
      </c>
      <c r="C289" s="66">
        <v>924</v>
      </c>
    </row>
    <row r="290" spans="1:3" ht="15.75" thickBot="1" x14ac:dyDescent="0.3">
      <c r="A290" s="65" t="s">
        <v>659</v>
      </c>
      <c r="B290" s="65" t="s">
        <v>514</v>
      </c>
      <c r="C290" s="66">
        <v>4047</v>
      </c>
    </row>
    <row r="291" spans="1:3" ht="15.75" thickBot="1" x14ac:dyDescent="0.3">
      <c r="A291" s="65" t="s">
        <v>659</v>
      </c>
      <c r="B291" s="65" t="s">
        <v>515</v>
      </c>
      <c r="C291" s="66">
        <v>4048</v>
      </c>
    </row>
    <row r="292" spans="1:3" ht="15.75" thickBot="1" x14ac:dyDescent="0.3">
      <c r="A292" s="65" t="s">
        <v>221</v>
      </c>
      <c r="B292" s="65" t="s">
        <v>516</v>
      </c>
      <c r="C292" s="66">
        <v>2043</v>
      </c>
    </row>
    <row r="293" spans="1:3" ht="15.75" thickBot="1" x14ac:dyDescent="0.3">
      <c r="A293" s="65" t="s">
        <v>346</v>
      </c>
      <c r="B293" s="65" t="s">
        <v>517</v>
      </c>
      <c r="C293" s="66">
        <v>8018</v>
      </c>
    </row>
    <row r="294" spans="1:3" ht="15.75" thickBot="1" x14ac:dyDescent="0.3">
      <c r="A294" s="65" t="s">
        <v>216</v>
      </c>
      <c r="B294" s="65" t="s">
        <v>518</v>
      </c>
      <c r="C294" s="66">
        <v>2026</v>
      </c>
    </row>
    <row r="295" spans="1:3" ht="15.75" thickBot="1" x14ac:dyDescent="0.3">
      <c r="A295" s="64" t="s">
        <v>264</v>
      </c>
      <c r="B295" s="65" t="s">
        <v>519</v>
      </c>
      <c r="C295" s="66">
        <v>2044</v>
      </c>
    </row>
    <row r="296" spans="1:3" ht="15.75" thickBot="1" x14ac:dyDescent="0.3">
      <c r="A296" s="65" t="s">
        <v>346</v>
      </c>
      <c r="B296" s="65" t="s">
        <v>520</v>
      </c>
      <c r="C296" s="66">
        <v>8020</v>
      </c>
    </row>
    <row r="297" spans="1:3" ht="15.75" thickBot="1" x14ac:dyDescent="0.3">
      <c r="A297" s="65" t="s">
        <v>657</v>
      </c>
      <c r="B297" s="65" t="s">
        <v>521</v>
      </c>
      <c r="C297" s="66">
        <v>4050</v>
      </c>
    </row>
    <row r="298" spans="1:3" ht="15.75" thickBot="1" x14ac:dyDescent="0.3">
      <c r="A298" s="65" t="s">
        <v>216</v>
      </c>
      <c r="B298" s="65" t="s">
        <v>522</v>
      </c>
      <c r="C298" s="66">
        <v>2045</v>
      </c>
    </row>
    <row r="299" spans="1:3" ht="15.75" thickBot="1" x14ac:dyDescent="0.3">
      <c r="A299" s="65" t="s">
        <v>659</v>
      </c>
      <c r="B299" s="65" t="s">
        <v>523</v>
      </c>
      <c r="C299" s="66">
        <v>4049</v>
      </c>
    </row>
    <row r="300" spans="1:3" ht="15.75" thickBot="1" x14ac:dyDescent="0.3">
      <c r="A300" s="65" t="s">
        <v>216</v>
      </c>
      <c r="B300" s="65" t="s">
        <v>524</v>
      </c>
      <c r="C300" s="66">
        <v>86</v>
      </c>
    </row>
    <row r="301" spans="1:3" ht="15.75" thickBot="1" x14ac:dyDescent="0.3">
      <c r="A301" s="65" t="s">
        <v>659</v>
      </c>
      <c r="B301" s="65" t="s">
        <v>525</v>
      </c>
      <c r="C301" s="66">
        <v>4051</v>
      </c>
    </row>
    <row r="302" spans="1:3" ht="15.75" thickBot="1" x14ac:dyDescent="0.3">
      <c r="A302" s="65" t="s">
        <v>659</v>
      </c>
      <c r="B302" s="65" t="s">
        <v>526</v>
      </c>
      <c r="C302" s="66">
        <v>4054</v>
      </c>
    </row>
    <row r="303" spans="1:3" ht="15.75" thickBot="1" x14ac:dyDescent="0.3">
      <c r="A303" s="65" t="s">
        <v>658</v>
      </c>
      <c r="B303" s="65" t="s">
        <v>527</v>
      </c>
      <c r="C303" s="66">
        <v>4053</v>
      </c>
    </row>
    <row r="304" spans="1:3" ht="15.75" thickBot="1" x14ac:dyDescent="0.3">
      <c r="A304" s="65" t="s">
        <v>655</v>
      </c>
      <c r="B304" s="65" t="s">
        <v>528</v>
      </c>
      <c r="C304" s="66">
        <v>4055</v>
      </c>
    </row>
    <row r="305" spans="1:3" ht="15.75" thickBot="1" x14ac:dyDescent="0.3">
      <c r="A305" s="64" t="s">
        <v>264</v>
      </c>
      <c r="B305" s="65" t="s">
        <v>529</v>
      </c>
      <c r="C305" s="66">
        <v>2047</v>
      </c>
    </row>
    <row r="306" spans="1:3" ht="15.75" thickBot="1" x14ac:dyDescent="0.3">
      <c r="A306" s="65" t="s">
        <v>216</v>
      </c>
      <c r="B306" s="65" t="s">
        <v>530</v>
      </c>
      <c r="C306" s="66">
        <v>2046</v>
      </c>
    </row>
    <row r="307" spans="1:3" ht="15.75" thickBot="1" x14ac:dyDescent="0.3">
      <c r="A307" s="65" t="s">
        <v>531</v>
      </c>
      <c r="B307" s="65" t="s">
        <v>532</v>
      </c>
      <c r="C307" s="66">
        <v>87</v>
      </c>
    </row>
    <row r="308" spans="1:3" ht="15.75" thickBot="1" x14ac:dyDescent="0.3">
      <c r="A308" s="65" t="s">
        <v>223</v>
      </c>
      <c r="B308" s="65" t="s">
        <v>533</v>
      </c>
      <c r="C308" s="66">
        <v>2042</v>
      </c>
    </row>
    <row r="309" spans="1:3" ht="15.75" thickBot="1" x14ac:dyDescent="0.3">
      <c r="A309" s="65" t="s">
        <v>531</v>
      </c>
      <c r="B309" s="65" t="s">
        <v>534</v>
      </c>
      <c r="C309" s="66">
        <v>88</v>
      </c>
    </row>
    <row r="310" spans="1:3" ht="15.75" thickBot="1" x14ac:dyDescent="0.3">
      <c r="A310" s="65" t="s">
        <v>531</v>
      </c>
      <c r="B310" s="65" t="s">
        <v>535</v>
      </c>
      <c r="C310" s="66">
        <v>89</v>
      </c>
    </row>
    <row r="311" spans="1:3" ht="15.75" thickBot="1" x14ac:dyDescent="0.3">
      <c r="A311" s="65" t="s">
        <v>531</v>
      </c>
      <c r="B311" s="65" t="s">
        <v>536</v>
      </c>
      <c r="C311" s="66">
        <v>91</v>
      </c>
    </row>
    <row r="312" spans="1:3" ht="15.75" thickBot="1" x14ac:dyDescent="0.3">
      <c r="A312" s="65" t="s">
        <v>439</v>
      </c>
      <c r="B312" s="65" t="s">
        <v>537</v>
      </c>
      <c r="C312" s="66">
        <v>93</v>
      </c>
    </row>
    <row r="313" spans="1:3" ht="15.75" thickBot="1" x14ac:dyDescent="0.3">
      <c r="A313" s="65" t="s">
        <v>531</v>
      </c>
      <c r="B313" s="65" t="s">
        <v>538</v>
      </c>
      <c r="C313" s="66">
        <v>90</v>
      </c>
    </row>
    <row r="314" spans="1:3" ht="15.75" thickBot="1" x14ac:dyDescent="0.3">
      <c r="A314" s="65" t="s">
        <v>539</v>
      </c>
      <c r="B314" s="65" t="s">
        <v>540</v>
      </c>
      <c r="C314" s="66">
        <v>92</v>
      </c>
    </row>
    <row r="315" spans="1:3" ht="15.75" thickBot="1" x14ac:dyDescent="0.3">
      <c r="A315" s="65" t="s">
        <v>539</v>
      </c>
      <c r="B315" s="65" t="s">
        <v>541</v>
      </c>
      <c r="C315" s="66">
        <v>94</v>
      </c>
    </row>
    <row r="316" spans="1:3" ht="15.75" thickBot="1" x14ac:dyDescent="0.3">
      <c r="A316" s="65" t="s">
        <v>659</v>
      </c>
      <c r="B316" s="65" t="s">
        <v>542</v>
      </c>
      <c r="C316" s="66">
        <v>4052</v>
      </c>
    </row>
    <row r="317" spans="1:3" ht="15.75" thickBot="1" x14ac:dyDescent="0.3">
      <c r="A317" s="65" t="s">
        <v>659</v>
      </c>
      <c r="B317" s="65" t="s">
        <v>543</v>
      </c>
      <c r="C317" s="66">
        <v>4056</v>
      </c>
    </row>
    <row r="318" spans="1:3" ht="15.75" thickBot="1" x14ac:dyDescent="0.3">
      <c r="A318" s="65" t="s">
        <v>221</v>
      </c>
      <c r="B318" s="65" t="s">
        <v>544</v>
      </c>
      <c r="C318" s="66">
        <v>2048</v>
      </c>
    </row>
    <row r="319" spans="1:3" ht="15.75" thickBot="1" x14ac:dyDescent="0.3">
      <c r="A319" s="65" t="s">
        <v>656</v>
      </c>
      <c r="B319" s="65" t="s">
        <v>545</v>
      </c>
      <c r="C319" s="66">
        <v>4057</v>
      </c>
    </row>
    <row r="320" spans="1:3" ht="15.75" thickBot="1" x14ac:dyDescent="0.3">
      <c r="A320" s="65" t="s">
        <v>346</v>
      </c>
      <c r="B320" s="65" t="s">
        <v>546</v>
      </c>
      <c r="C320" s="66">
        <v>8022</v>
      </c>
    </row>
    <row r="321" spans="1:3" ht="15.75" thickBot="1" x14ac:dyDescent="0.3">
      <c r="A321" s="65" t="s">
        <v>346</v>
      </c>
      <c r="B321" s="65" t="s">
        <v>547</v>
      </c>
      <c r="C321" s="66">
        <v>8021</v>
      </c>
    </row>
    <row r="322" spans="1:3" ht="15.75" thickBot="1" x14ac:dyDescent="0.3">
      <c r="A322" s="65" t="s">
        <v>659</v>
      </c>
      <c r="B322" s="65" t="s">
        <v>548</v>
      </c>
      <c r="C322" s="66">
        <v>4058</v>
      </c>
    </row>
    <row r="323" spans="1:3" ht="15.75" thickBot="1" x14ac:dyDescent="0.3">
      <c r="A323" s="65" t="s">
        <v>346</v>
      </c>
      <c r="B323" s="65" t="s">
        <v>549</v>
      </c>
      <c r="C323" s="66">
        <v>8019</v>
      </c>
    </row>
    <row r="324" spans="1:3" ht="15.75" thickBot="1" x14ac:dyDescent="0.3">
      <c r="A324" s="65" t="s">
        <v>223</v>
      </c>
      <c r="B324" s="65" t="s">
        <v>550</v>
      </c>
      <c r="C324" s="66">
        <v>2052</v>
      </c>
    </row>
    <row r="325" spans="1:3" ht="15.75" thickBot="1" x14ac:dyDescent="0.3">
      <c r="A325" s="65" t="s">
        <v>216</v>
      </c>
      <c r="B325" s="65" t="s">
        <v>551</v>
      </c>
      <c r="C325" s="66">
        <v>2049</v>
      </c>
    </row>
    <row r="326" spans="1:3" ht="15.75" thickBot="1" x14ac:dyDescent="0.3">
      <c r="A326" s="65" t="s">
        <v>216</v>
      </c>
      <c r="B326" s="65" t="s">
        <v>552</v>
      </c>
      <c r="C326" s="66">
        <v>2050</v>
      </c>
    </row>
    <row r="327" spans="1:3" ht="15.75" thickBot="1" x14ac:dyDescent="0.3">
      <c r="A327" s="65" t="s">
        <v>346</v>
      </c>
      <c r="B327" s="65" t="s">
        <v>553</v>
      </c>
      <c r="C327" s="66">
        <v>8023</v>
      </c>
    </row>
    <row r="328" spans="1:3" ht="15.75" thickBot="1" x14ac:dyDescent="0.3">
      <c r="A328" s="65" t="s">
        <v>223</v>
      </c>
      <c r="B328" s="65" t="s">
        <v>554</v>
      </c>
      <c r="C328" s="66">
        <v>2051</v>
      </c>
    </row>
    <row r="329" spans="1:3" ht="15.75" thickBot="1" x14ac:dyDescent="0.3">
      <c r="A329" s="65" t="s">
        <v>266</v>
      </c>
      <c r="B329" s="65" t="s">
        <v>555</v>
      </c>
      <c r="C329" s="66">
        <v>2053</v>
      </c>
    </row>
    <row r="330" spans="1:3" ht="15.75" thickBot="1" x14ac:dyDescent="0.3">
      <c r="A330" s="65" t="s">
        <v>659</v>
      </c>
      <c r="B330" s="65" t="s">
        <v>556</v>
      </c>
      <c r="C330" s="66">
        <v>4060</v>
      </c>
    </row>
    <row r="331" spans="1:3" ht="15.75" thickBot="1" x14ac:dyDescent="0.3">
      <c r="A331" s="65" t="s">
        <v>659</v>
      </c>
      <c r="B331" s="65" t="s">
        <v>557</v>
      </c>
      <c r="C331" s="66">
        <v>4059</v>
      </c>
    </row>
    <row r="332" spans="1:3" ht="15.75" thickBot="1" x14ac:dyDescent="0.3">
      <c r="A332" s="65" t="s">
        <v>558</v>
      </c>
      <c r="B332" s="65" t="s">
        <v>559</v>
      </c>
      <c r="C332" s="66">
        <v>2061</v>
      </c>
    </row>
    <row r="333" spans="1:3" ht="15.75" thickBot="1" x14ac:dyDescent="0.3">
      <c r="A333" s="64" t="s">
        <v>269</v>
      </c>
      <c r="B333" s="65" t="s">
        <v>560</v>
      </c>
      <c r="C333" s="66">
        <v>96</v>
      </c>
    </row>
    <row r="334" spans="1:3" ht="15.75" thickBot="1" x14ac:dyDescent="0.3">
      <c r="A334" s="65" t="s">
        <v>659</v>
      </c>
      <c r="B334" s="65" t="s">
        <v>561</v>
      </c>
      <c r="C334" s="66">
        <v>4061</v>
      </c>
    </row>
    <row r="335" spans="1:3" ht="15.75" thickBot="1" x14ac:dyDescent="0.3">
      <c r="A335" s="65" t="s">
        <v>539</v>
      </c>
      <c r="B335" s="65" t="s">
        <v>562</v>
      </c>
      <c r="C335" s="66">
        <v>2054</v>
      </c>
    </row>
    <row r="336" spans="1:3" ht="15.75" thickBot="1" x14ac:dyDescent="0.3">
      <c r="A336" s="65" t="s">
        <v>661</v>
      </c>
      <c r="B336" s="65" t="s">
        <v>563</v>
      </c>
      <c r="C336" s="66">
        <v>925</v>
      </c>
    </row>
    <row r="337" spans="1:3" ht="15.75" thickBot="1" x14ac:dyDescent="0.3">
      <c r="A337" s="65" t="s">
        <v>657</v>
      </c>
      <c r="B337" s="65" t="s">
        <v>564</v>
      </c>
      <c r="C337" s="66">
        <v>926</v>
      </c>
    </row>
    <row r="338" spans="1:3" ht="15.75" thickBot="1" x14ac:dyDescent="0.3">
      <c r="A338" s="65" t="s">
        <v>558</v>
      </c>
      <c r="B338" s="65" t="s">
        <v>565</v>
      </c>
      <c r="C338" s="66">
        <v>99</v>
      </c>
    </row>
    <row r="339" spans="1:3" ht="15.75" thickBot="1" x14ac:dyDescent="0.3">
      <c r="A339" s="65" t="s">
        <v>658</v>
      </c>
      <c r="B339" s="65" t="s">
        <v>566</v>
      </c>
      <c r="C339" s="66">
        <v>927</v>
      </c>
    </row>
    <row r="340" spans="1:3" ht="15.75" thickBot="1" x14ac:dyDescent="0.3">
      <c r="A340" s="65" t="s">
        <v>657</v>
      </c>
      <c r="B340" s="65" t="s">
        <v>567</v>
      </c>
      <c r="C340" s="66">
        <v>2060</v>
      </c>
    </row>
    <row r="341" spans="1:3" ht="15.75" thickBot="1" x14ac:dyDescent="0.3">
      <c r="A341" s="65" t="s">
        <v>266</v>
      </c>
      <c r="B341" s="65" t="s">
        <v>568</v>
      </c>
      <c r="C341" s="66">
        <v>2056</v>
      </c>
    </row>
    <row r="342" spans="1:3" ht="15.75" thickBot="1" x14ac:dyDescent="0.3">
      <c r="A342" s="65" t="s">
        <v>221</v>
      </c>
      <c r="B342" s="65" t="s">
        <v>569</v>
      </c>
      <c r="C342" s="66">
        <v>105</v>
      </c>
    </row>
    <row r="343" spans="1:3" ht="15.75" thickBot="1" x14ac:dyDescent="0.3">
      <c r="A343" s="64" t="s">
        <v>269</v>
      </c>
      <c r="B343" s="65" t="s">
        <v>570</v>
      </c>
      <c r="C343" s="66">
        <v>2055</v>
      </c>
    </row>
    <row r="344" spans="1:3" ht="15.75" thickBot="1" x14ac:dyDescent="0.3">
      <c r="A344" s="65" t="s">
        <v>223</v>
      </c>
      <c r="B344" s="65" t="s">
        <v>571</v>
      </c>
      <c r="C344" s="66">
        <v>101</v>
      </c>
    </row>
    <row r="345" spans="1:3" ht="15.75" thickBot="1" x14ac:dyDescent="0.3">
      <c r="A345" s="65" t="s">
        <v>539</v>
      </c>
      <c r="B345" s="65" t="s">
        <v>572</v>
      </c>
      <c r="C345" s="66">
        <v>97</v>
      </c>
    </row>
    <row r="346" spans="1:3" ht="15.75" thickBot="1" x14ac:dyDescent="0.3">
      <c r="A346" s="65" t="s">
        <v>221</v>
      </c>
      <c r="B346" s="65" t="s">
        <v>573</v>
      </c>
      <c r="C346" s="66">
        <v>106</v>
      </c>
    </row>
    <row r="347" spans="1:3" ht="15.75" thickBot="1" x14ac:dyDescent="0.3">
      <c r="A347" s="65" t="s">
        <v>218</v>
      </c>
      <c r="B347" s="65" t="s">
        <v>574</v>
      </c>
      <c r="C347" s="66">
        <v>104</v>
      </c>
    </row>
    <row r="348" spans="1:3" ht="15.75" thickBot="1" x14ac:dyDescent="0.3">
      <c r="A348" s="65" t="s">
        <v>654</v>
      </c>
      <c r="B348" s="65" t="s">
        <v>575</v>
      </c>
      <c r="C348" s="66">
        <v>4063</v>
      </c>
    </row>
    <row r="349" spans="1:3" ht="15.75" thickBot="1" x14ac:dyDescent="0.3">
      <c r="A349" s="65" t="s">
        <v>346</v>
      </c>
      <c r="B349" s="65" t="s">
        <v>576</v>
      </c>
      <c r="C349" s="66">
        <v>8025</v>
      </c>
    </row>
    <row r="350" spans="1:3" ht="15.75" thickBot="1" x14ac:dyDescent="0.3">
      <c r="A350" s="65" t="s">
        <v>654</v>
      </c>
      <c r="B350" s="65" t="s">
        <v>577</v>
      </c>
      <c r="C350" s="66">
        <v>4067</v>
      </c>
    </row>
    <row r="351" spans="1:3" ht="15.75" thickBot="1" x14ac:dyDescent="0.3">
      <c r="A351" s="65" t="s">
        <v>273</v>
      </c>
      <c r="B351" s="65" t="s">
        <v>578</v>
      </c>
      <c r="C351" s="66">
        <v>108</v>
      </c>
    </row>
    <row r="352" spans="1:3" ht="15.75" thickBot="1" x14ac:dyDescent="0.3">
      <c r="A352" s="65" t="s">
        <v>266</v>
      </c>
      <c r="B352" s="65" t="s">
        <v>579</v>
      </c>
      <c r="C352" s="66">
        <v>121</v>
      </c>
    </row>
    <row r="353" spans="1:3" ht="15.75" thickBot="1" x14ac:dyDescent="0.3">
      <c r="A353" s="65" t="s">
        <v>346</v>
      </c>
      <c r="B353" s="65" t="s">
        <v>580</v>
      </c>
      <c r="C353" s="66">
        <v>8024</v>
      </c>
    </row>
    <row r="354" spans="1:3" ht="15.75" thickBot="1" x14ac:dyDescent="0.3">
      <c r="A354" s="65" t="s">
        <v>658</v>
      </c>
      <c r="B354" s="65" t="s">
        <v>581</v>
      </c>
      <c r="C354" s="66">
        <v>4072</v>
      </c>
    </row>
    <row r="355" spans="1:3" ht="15.75" thickBot="1" x14ac:dyDescent="0.3">
      <c r="A355" s="65" t="s">
        <v>655</v>
      </c>
      <c r="B355" s="65" t="s">
        <v>582</v>
      </c>
      <c r="C355" s="66">
        <v>4068</v>
      </c>
    </row>
    <row r="356" spans="1:3" ht="15.75" thickBot="1" x14ac:dyDescent="0.3">
      <c r="A356" s="65" t="s">
        <v>278</v>
      </c>
      <c r="B356" s="65" t="s">
        <v>583</v>
      </c>
      <c r="C356" s="66">
        <v>107</v>
      </c>
    </row>
    <row r="357" spans="1:3" ht="15.75" thickBot="1" x14ac:dyDescent="0.3">
      <c r="A357" s="64" t="s">
        <v>269</v>
      </c>
      <c r="B357" s="65" t="s">
        <v>584</v>
      </c>
      <c r="C357" s="66">
        <v>112</v>
      </c>
    </row>
    <row r="358" spans="1:3" ht="15.75" thickBot="1" x14ac:dyDescent="0.3">
      <c r="A358" s="65" t="s">
        <v>661</v>
      </c>
      <c r="B358" s="65" t="s">
        <v>585</v>
      </c>
      <c r="C358" s="66">
        <v>4066</v>
      </c>
    </row>
    <row r="359" spans="1:3" ht="15.75" thickBot="1" x14ac:dyDescent="0.3">
      <c r="A359" s="65" t="s">
        <v>657</v>
      </c>
      <c r="B359" s="65" t="s">
        <v>586</v>
      </c>
      <c r="C359" s="66">
        <v>4070</v>
      </c>
    </row>
    <row r="360" spans="1:3" ht="15.75" thickBot="1" x14ac:dyDescent="0.3">
      <c r="A360" s="65" t="s">
        <v>656</v>
      </c>
      <c r="B360" s="65" t="s">
        <v>587</v>
      </c>
      <c r="C360" s="66">
        <v>4071</v>
      </c>
    </row>
    <row r="361" spans="1:3" ht="15.75" thickBot="1" x14ac:dyDescent="0.3">
      <c r="A361" s="65" t="s">
        <v>218</v>
      </c>
      <c r="B361" s="65" t="s">
        <v>588</v>
      </c>
      <c r="C361" s="66">
        <v>110</v>
      </c>
    </row>
    <row r="362" spans="1:3" ht="15.75" thickBot="1" x14ac:dyDescent="0.3">
      <c r="A362" s="65" t="s">
        <v>658</v>
      </c>
      <c r="B362" s="65" t="s">
        <v>589</v>
      </c>
      <c r="C362" s="66">
        <v>4073</v>
      </c>
    </row>
    <row r="363" spans="1:3" ht="15.75" thickBot="1" x14ac:dyDescent="0.3">
      <c r="A363" s="65" t="s">
        <v>273</v>
      </c>
      <c r="B363" s="65" t="s">
        <v>590</v>
      </c>
      <c r="C363" s="66">
        <v>102</v>
      </c>
    </row>
    <row r="364" spans="1:3" ht="15.75" thickBot="1" x14ac:dyDescent="0.3">
      <c r="A364" s="65" t="s">
        <v>273</v>
      </c>
      <c r="B364" s="65" t="s">
        <v>591</v>
      </c>
      <c r="C364" s="66">
        <v>115</v>
      </c>
    </row>
    <row r="365" spans="1:3" ht="15.75" thickBot="1" x14ac:dyDescent="0.3">
      <c r="A365" s="65" t="s">
        <v>273</v>
      </c>
      <c r="B365" s="65" t="s">
        <v>592</v>
      </c>
      <c r="C365" s="66">
        <v>116</v>
      </c>
    </row>
    <row r="366" spans="1:3" ht="15.75" thickBot="1" x14ac:dyDescent="0.3">
      <c r="A366" s="65" t="s">
        <v>658</v>
      </c>
      <c r="B366" s="65" t="s">
        <v>593</v>
      </c>
      <c r="C366" s="66">
        <v>4074</v>
      </c>
    </row>
    <row r="367" spans="1:3" ht="15.75" thickBot="1" x14ac:dyDescent="0.3">
      <c r="A367" s="65" t="s">
        <v>658</v>
      </c>
      <c r="B367" s="65" t="s">
        <v>594</v>
      </c>
      <c r="C367" s="66">
        <v>4075</v>
      </c>
    </row>
    <row r="368" spans="1:3" ht="15.75" thickBot="1" x14ac:dyDescent="0.3">
      <c r="A368" s="65" t="s">
        <v>273</v>
      </c>
      <c r="B368" s="65" t="s">
        <v>595</v>
      </c>
      <c r="C368" s="66">
        <v>103</v>
      </c>
    </row>
    <row r="369" spans="1:3" ht="15.75" thickBot="1" x14ac:dyDescent="0.3">
      <c r="A369" s="65" t="s">
        <v>657</v>
      </c>
      <c r="B369" s="65" t="s">
        <v>596</v>
      </c>
      <c r="C369" s="66">
        <v>4065</v>
      </c>
    </row>
    <row r="370" spans="1:3" ht="15.75" thickBot="1" x14ac:dyDescent="0.3">
      <c r="A370" s="65" t="s">
        <v>273</v>
      </c>
      <c r="B370" s="65" t="s">
        <v>597</v>
      </c>
      <c r="C370" s="66">
        <v>117</v>
      </c>
    </row>
    <row r="371" spans="1:3" ht="15.75" thickBot="1" x14ac:dyDescent="0.3">
      <c r="A371" s="65" t="s">
        <v>273</v>
      </c>
      <c r="B371" s="65" t="s">
        <v>598</v>
      </c>
      <c r="C371" s="66">
        <v>123</v>
      </c>
    </row>
    <row r="372" spans="1:3" ht="15.75" thickBot="1" x14ac:dyDescent="0.3">
      <c r="A372" s="65" t="s">
        <v>658</v>
      </c>
      <c r="B372" s="65" t="s">
        <v>599</v>
      </c>
      <c r="C372" s="66">
        <v>4076</v>
      </c>
    </row>
    <row r="373" spans="1:3" ht="15.75" thickBot="1" x14ac:dyDescent="0.3">
      <c r="A373" s="65" t="s">
        <v>657</v>
      </c>
      <c r="B373" s="65" t="s">
        <v>600</v>
      </c>
      <c r="C373" s="66">
        <v>4064</v>
      </c>
    </row>
    <row r="374" spans="1:3" ht="15.75" thickBot="1" x14ac:dyDescent="0.3">
      <c r="A374" s="65" t="s">
        <v>223</v>
      </c>
      <c r="B374" s="65" t="s">
        <v>601</v>
      </c>
      <c r="C374" s="66">
        <v>113</v>
      </c>
    </row>
    <row r="375" spans="1:3" ht="15.75" thickBot="1" x14ac:dyDescent="0.3">
      <c r="A375" s="65" t="s">
        <v>273</v>
      </c>
      <c r="B375" s="65" t="s">
        <v>602</v>
      </c>
      <c r="C375" s="66">
        <v>120</v>
      </c>
    </row>
    <row r="376" spans="1:3" ht="15.75" thickBot="1" x14ac:dyDescent="0.3">
      <c r="A376" s="65" t="s">
        <v>346</v>
      </c>
      <c r="B376" s="65" t="s">
        <v>603</v>
      </c>
      <c r="C376" s="66">
        <v>8027</v>
      </c>
    </row>
    <row r="377" spans="1:3" ht="15.75" thickBot="1" x14ac:dyDescent="0.3">
      <c r="A377" s="65" t="s">
        <v>225</v>
      </c>
      <c r="B377" s="65" t="s">
        <v>604</v>
      </c>
      <c r="C377" s="66">
        <v>111</v>
      </c>
    </row>
    <row r="378" spans="1:3" ht="15.75" thickBot="1" x14ac:dyDescent="0.3">
      <c r="A378" s="65" t="s">
        <v>278</v>
      </c>
      <c r="B378" s="65" t="s">
        <v>605</v>
      </c>
      <c r="C378" s="66">
        <v>109</v>
      </c>
    </row>
    <row r="379" spans="1:3" ht="15.75" thickBot="1" x14ac:dyDescent="0.3">
      <c r="A379" s="65" t="s">
        <v>346</v>
      </c>
      <c r="B379" s="65" t="s">
        <v>606</v>
      </c>
      <c r="C379" s="66">
        <v>8026</v>
      </c>
    </row>
    <row r="380" spans="1:3" ht="15.75" thickBot="1" x14ac:dyDescent="0.3">
      <c r="A380" s="65" t="s">
        <v>346</v>
      </c>
      <c r="B380" s="65" t="s">
        <v>607</v>
      </c>
      <c r="C380" s="66">
        <v>8028</v>
      </c>
    </row>
    <row r="381" spans="1:3" ht="15.75" thickBot="1" x14ac:dyDescent="0.3">
      <c r="A381" s="64" t="s">
        <v>264</v>
      </c>
      <c r="B381" s="65" t="s">
        <v>608</v>
      </c>
      <c r="C381" s="66">
        <v>114</v>
      </c>
    </row>
    <row r="382" spans="1:3" ht="15.75" thickBot="1" x14ac:dyDescent="0.3">
      <c r="A382" s="65" t="s">
        <v>273</v>
      </c>
      <c r="B382" s="65" t="s">
        <v>609</v>
      </c>
      <c r="C382" s="66">
        <v>118</v>
      </c>
    </row>
    <row r="383" spans="1:3" ht="15.75" thickBot="1" x14ac:dyDescent="0.3">
      <c r="A383" s="65" t="s">
        <v>346</v>
      </c>
      <c r="B383" s="65" t="s">
        <v>610</v>
      </c>
      <c r="C383" s="66">
        <v>8029</v>
      </c>
    </row>
    <row r="384" spans="1:3" ht="15.75" thickBot="1" x14ac:dyDescent="0.3">
      <c r="A384" s="65" t="s">
        <v>656</v>
      </c>
      <c r="B384" s="65" t="s">
        <v>611</v>
      </c>
      <c r="C384" s="66">
        <v>4077</v>
      </c>
    </row>
    <row r="385" spans="1:3" ht="15.75" thickBot="1" x14ac:dyDescent="0.3">
      <c r="A385" s="64" t="s">
        <v>264</v>
      </c>
      <c r="B385" s="65" t="s">
        <v>612</v>
      </c>
      <c r="C385" s="66">
        <v>122</v>
      </c>
    </row>
    <row r="386" spans="1:3" ht="15.75" thickBot="1" x14ac:dyDescent="0.3">
      <c r="A386" s="65" t="s">
        <v>273</v>
      </c>
      <c r="B386" s="65" t="s">
        <v>613</v>
      </c>
      <c r="C386" s="66">
        <v>125</v>
      </c>
    </row>
    <row r="387" spans="1:3" ht="15.75" thickBot="1" x14ac:dyDescent="0.3">
      <c r="A387" s="65" t="s">
        <v>273</v>
      </c>
      <c r="B387" s="65" t="s">
        <v>614</v>
      </c>
      <c r="C387" s="66">
        <v>127</v>
      </c>
    </row>
    <row r="388" spans="1:3" ht="15.75" thickBot="1" x14ac:dyDescent="0.3">
      <c r="A388" s="65" t="s">
        <v>216</v>
      </c>
      <c r="B388" s="65" t="s">
        <v>615</v>
      </c>
      <c r="C388" s="66">
        <v>130</v>
      </c>
    </row>
    <row r="389" spans="1:3" ht="15.75" thickBot="1" x14ac:dyDescent="0.3">
      <c r="A389" s="65" t="s">
        <v>216</v>
      </c>
      <c r="B389" s="65" t="s">
        <v>616</v>
      </c>
      <c r="C389" s="66">
        <v>131</v>
      </c>
    </row>
    <row r="390" spans="1:3" ht="15.75" thickBot="1" x14ac:dyDescent="0.3">
      <c r="A390" s="65" t="s">
        <v>273</v>
      </c>
      <c r="B390" s="65" t="s">
        <v>617</v>
      </c>
      <c r="C390" s="66">
        <v>129</v>
      </c>
    </row>
    <row r="391" spans="1:3" ht="15.75" thickBot="1" x14ac:dyDescent="0.3">
      <c r="A391" s="65" t="s">
        <v>216</v>
      </c>
      <c r="B391" s="65" t="s">
        <v>618</v>
      </c>
      <c r="C391" s="66">
        <v>128</v>
      </c>
    </row>
    <row r="392" spans="1:3" ht="15.75" thickBot="1" x14ac:dyDescent="0.3">
      <c r="A392" s="65" t="s">
        <v>218</v>
      </c>
      <c r="B392" s="65" t="s">
        <v>619</v>
      </c>
      <c r="C392" s="66">
        <v>126</v>
      </c>
    </row>
    <row r="393" spans="1:3" ht="15.75" thickBot="1" x14ac:dyDescent="0.3">
      <c r="A393" s="65" t="s">
        <v>655</v>
      </c>
      <c r="B393" s="65" t="s">
        <v>620</v>
      </c>
      <c r="C393" s="66">
        <v>928</v>
      </c>
    </row>
    <row r="394" spans="1:3" ht="15.75" thickBot="1" x14ac:dyDescent="0.3">
      <c r="A394" s="65" t="s">
        <v>346</v>
      </c>
      <c r="B394" s="65" t="s">
        <v>621</v>
      </c>
      <c r="C394" s="66">
        <v>8030</v>
      </c>
    </row>
    <row r="395" spans="1:3" ht="15.75" thickBot="1" x14ac:dyDescent="0.3">
      <c r="A395" s="65" t="s">
        <v>273</v>
      </c>
      <c r="B395" s="65" t="s">
        <v>622</v>
      </c>
      <c r="C395" s="66">
        <v>132</v>
      </c>
    </row>
    <row r="396" spans="1:3" ht="15.75" thickBot="1" x14ac:dyDescent="0.3">
      <c r="A396" s="65" t="s">
        <v>223</v>
      </c>
      <c r="B396" s="65" t="s">
        <v>623</v>
      </c>
      <c r="C396" s="66">
        <v>134</v>
      </c>
    </row>
    <row r="397" spans="1:3" ht="15.75" thickBot="1" x14ac:dyDescent="0.3">
      <c r="A397" s="64" t="s">
        <v>264</v>
      </c>
      <c r="B397" s="65" t="s">
        <v>624</v>
      </c>
      <c r="C397" s="66">
        <v>2058</v>
      </c>
    </row>
    <row r="398" spans="1:3" ht="15.75" thickBot="1" x14ac:dyDescent="0.3">
      <c r="A398" s="65" t="s">
        <v>346</v>
      </c>
      <c r="B398" s="65" t="s">
        <v>625</v>
      </c>
      <c r="C398" s="66">
        <v>8032</v>
      </c>
    </row>
    <row r="399" spans="1:3" ht="15.75" thickBot="1" x14ac:dyDescent="0.3">
      <c r="A399" s="65" t="s">
        <v>273</v>
      </c>
      <c r="B399" s="65" t="s">
        <v>626</v>
      </c>
      <c r="C399" s="66">
        <v>2057</v>
      </c>
    </row>
    <row r="400" spans="1:3" ht="15.75" thickBot="1" x14ac:dyDescent="0.3">
      <c r="A400" s="65" t="s">
        <v>216</v>
      </c>
      <c r="B400" s="65" t="s">
        <v>627</v>
      </c>
      <c r="C400" s="66">
        <v>133</v>
      </c>
    </row>
    <row r="401" spans="1:3" ht="15.75" thickBot="1" x14ac:dyDescent="0.3">
      <c r="A401" s="65" t="s">
        <v>657</v>
      </c>
      <c r="B401" s="65" t="s">
        <v>628</v>
      </c>
      <c r="C401" s="66">
        <v>929</v>
      </c>
    </row>
    <row r="402" spans="1:3" ht="15.75" thickBot="1" x14ac:dyDescent="0.3">
      <c r="A402" s="64" t="s">
        <v>269</v>
      </c>
      <c r="B402" s="65" t="s">
        <v>629</v>
      </c>
      <c r="C402" s="66">
        <v>2059</v>
      </c>
    </row>
    <row r="403" spans="1:3" ht="15.75" thickBot="1" x14ac:dyDescent="0.3">
      <c r="A403" s="65" t="s">
        <v>654</v>
      </c>
      <c r="B403" s="65" t="s">
        <v>630</v>
      </c>
      <c r="C403" s="66">
        <v>4078</v>
      </c>
    </row>
    <row r="404" spans="1:3" ht="15.75" thickBot="1" x14ac:dyDescent="0.3">
      <c r="A404" s="65" t="s">
        <v>657</v>
      </c>
      <c r="B404" s="65" t="s">
        <v>631</v>
      </c>
      <c r="C404" s="66">
        <v>4079</v>
      </c>
    </row>
    <row r="405" spans="1:3" ht="15.75" thickBot="1" x14ac:dyDescent="0.3">
      <c r="A405" s="65" t="s">
        <v>657</v>
      </c>
      <c r="B405" s="65" t="s">
        <v>632</v>
      </c>
      <c r="C405" s="66">
        <v>4080</v>
      </c>
    </row>
    <row r="406" spans="1:3" ht="15.75" thickBot="1" x14ac:dyDescent="0.3">
      <c r="A406" s="65" t="s">
        <v>218</v>
      </c>
      <c r="B406" s="65" t="s">
        <v>633</v>
      </c>
      <c r="C406" s="66">
        <v>124</v>
      </c>
    </row>
    <row r="407" spans="1:3" ht="15.75" thickBot="1" x14ac:dyDescent="0.3">
      <c r="A407" s="65" t="s">
        <v>218</v>
      </c>
      <c r="B407" s="65" t="s">
        <v>634</v>
      </c>
      <c r="C407" s="66">
        <v>119</v>
      </c>
    </row>
    <row r="408" spans="1:3" ht="15.75" thickBot="1" x14ac:dyDescent="0.3">
      <c r="A408" s="65" t="s">
        <v>658</v>
      </c>
      <c r="B408" s="65" t="s">
        <v>635</v>
      </c>
      <c r="C408" s="66">
        <v>4081</v>
      </c>
    </row>
    <row r="409" spans="1:3" ht="15.75" thickBot="1" x14ac:dyDescent="0.3">
      <c r="A409" s="65" t="s">
        <v>273</v>
      </c>
      <c r="B409" s="65" t="s">
        <v>636</v>
      </c>
      <c r="C409" s="66">
        <v>135</v>
      </c>
    </row>
    <row r="410" spans="1:3" ht="15.75" thickBot="1" x14ac:dyDescent="0.3">
      <c r="A410" s="65" t="s">
        <v>225</v>
      </c>
      <c r="B410" s="65" t="s">
        <v>637</v>
      </c>
      <c r="C410" s="66">
        <v>2062</v>
      </c>
    </row>
    <row r="411" spans="1:3" ht="15.75" thickBot="1" x14ac:dyDescent="0.3">
      <c r="A411" s="65" t="s">
        <v>657</v>
      </c>
      <c r="B411" s="65" t="s">
        <v>638</v>
      </c>
      <c r="C411" s="66">
        <v>4082</v>
      </c>
    </row>
    <row r="412" spans="1:3" ht="15.75" thickBot="1" x14ac:dyDescent="0.3">
      <c r="A412" s="65" t="s">
        <v>346</v>
      </c>
      <c r="B412" s="65" t="s">
        <v>639</v>
      </c>
      <c r="C412" s="66">
        <v>8033</v>
      </c>
    </row>
    <row r="413" spans="1:3" ht="15.75" thickBot="1" x14ac:dyDescent="0.3">
      <c r="A413" s="65" t="s">
        <v>346</v>
      </c>
      <c r="B413" s="65" t="s">
        <v>772</v>
      </c>
      <c r="C413" s="66">
        <v>8035</v>
      </c>
    </row>
    <row r="414" spans="1:3" ht="15.75" thickBot="1" x14ac:dyDescent="0.3">
      <c r="A414" s="65" t="s">
        <v>223</v>
      </c>
      <c r="B414" s="65" t="s">
        <v>640</v>
      </c>
      <c r="C414" s="66">
        <v>137</v>
      </c>
    </row>
    <row r="415" spans="1:3" ht="15.75" thickBot="1" x14ac:dyDescent="0.3">
      <c r="A415" s="65" t="s">
        <v>223</v>
      </c>
      <c r="B415" s="65" t="s">
        <v>641</v>
      </c>
      <c r="C415" s="66">
        <v>138</v>
      </c>
    </row>
    <row r="416" spans="1:3" ht="15.75" thickBot="1" x14ac:dyDescent="0.3">
      <c r="A416" s="65" t="s">
        <v>225</v>
      </c>
      <c r="B416" s="65" t="s">
        <v>642</v>
      </c>
      <c r="C416" s="66">
        <v>2063</v>
      </c>
    </row>
    <row r="417" spans="1:3" ht="15.75" thickBot="1" x14ac:dyDescent="0.3">
      <c r="A417" s="65" t="s">
        <v>346</v>
      </c>
      <c r="B417" s="65" t="s">
        <v>643</v>
      </c>
      <c r="C417" s="66">
        <v>8031</v>
      </c>
    </row>
    <row r="418" spans="1:3" ht="15.75" thickBot="1" x14ac:dyDescent="0.3">
      <c r="A418" s="65" t="s">
        <v>223</v>
      </c>
      <c r="B418" s="65" t="s">
        <v>644</v>
      </c>
      <c r="C418" s="66">
        <v>139</v>
      </c>
    </row>
    <row r="419" spans="1:3" ht="15.75" thickBot="1" x14ac:dyDescent="0.3">
      <c r="A419" s="65" t="s">
        <v>273</v>
      </c>
      <c r="B419" s="65" t="s">
        <v>645</v>
      </c>
      <c r="C419" s="66">
        <v>136</v>
      </c>
    </row>
    <row r="420" spans="1:3" ht="15.75" thickBot="1" x14ac:dyDescent="0.3">
      <c r="A420" s="65" t="s">
        <v>688</v>
      </c>
      <c r="B420" s="65" t="s">
        <v>333</v>
      </c>
      <c r="C420" s="66">
        <v>0</v>
      </c>
    </row>
    <row r="421" spans="1:3" ht="15.75" thickBot="1" x14ac:dyDescent="0.3">
      <c r="A421" s="65" t="s">
        <v>688</v>
      </c>
      <c r="B421" s="65" t="s">
        <v>64</v>
      </c>
      <c r="C421" s="66" t="s">
        <v>662</v>
      </c>
    </row>
    <row r="422" spans="1:3" ht="15.75" thickBot="1" x14ac:dyDescent="0.3">
      <c r="A422" s="65" t="s">
        <v>688</v>
      </c>
      <c r="B422" s="65" t="s">
        <v>66</v>
      </c>
      <c r="C422" s="66" t="s">
        <v>663</v>
      </c>
    </row>
    <row r="423" spans="1:3" ht="15.75" thickBot="1" x14ac:dyDescent="0.3">
      <c r="A423" s="65" t="s">
        <v>688</v>
      </c>
      <c r="B423" s="65" t="s">
        <v>69</v>
      </c>
      <c r="C423" s="66" t="s">
        <v>664</v>
      </c>
    </row>
    <row r="424" spans="1:3" ht="15.75" thickBot="1" x14ac:dyDescent="0.3">
      <c r="A424" s="65" t="s">
        <v>688</v>
      </c>
      <c r="B424" s="65" t="s">
        <v>689</v>
      </c>
      <c r="C424" s="66" t="s">
        <v>665</v>
      </c>
    </row>
    <row r="425" spans="1:3" ht="15.75" thickBot="1" x14ac:dyDescent="0.3">
      <c r="A425" s="65" t="s">
        <v>688</v>
      </c>
      <c r="B425" s="65" t="s">
        <v>63</v>
      </c>
      <c r="C425" s="66" t="s">
        <v>671</v>
      </c>
    </row>
    <row r="426" spans="1:3" ht="15.75" thickBot="1" x14ac:dyDescent="0.3">
      <c r="A426" s="65" t="s">
        <v>688</v>
      </c>
      <c r="B426" s="65" t="s">
        <v>690</v>
      </c>
      <c r="C426" s="66" t="s">
        <v>672</v>
      </c>
    </row>
    <row r="427" spans="1:3" ht="15.75" thickBot="1" x14ac:dyDescent="0.3">
      <c r="A427" s="65" t="s">
        <v>688</v>
      </c>
      <c r="B427" s="65" t="s">
        <v>65</v>
      </c>
      <c r="C427" s="66" t="s">
        <v>691</v>
      </c>
    </row>
    <row r="428" spans="1:3" ht="15.75" thickBot="1" x14ac:dyDescent="0.3">
      <c r="A428" s="65" t="s">
        <v>688</v>
      </c>
      <c r="B428" s="65" t="s">
        <v>95</v>
      </c>
      <c r="C428" s="66" t="s">
        <v>673</v>
      </c>
    </row>
    <row r="429" spans="1:3" ht="15.75" thickBot="1" x14ac:dyDescent="0.3">
      <c r="A429" s="65" t="s">
        <v>688</v>
      </c>
      <c r="B429" s="65" t="s">
        <v>114</v>
      </c>
      <c r="C429" s="66" t="s">
        <v>674</v>
      </c>
    </row>
    <row r="430" spans="1:3" ht="15.75" thickBot="1" x14ac:dyDescent="0.3">
      <c r="A430" s="65" t="s">
        <v>688</v>
      </c>
      <c r="B430" s="65" t="s">
        <v>115</v>
      </c>
      <c r="C430" s="66" t="s">
        <v>675</v>
      </c>
    </row>
    <row r="431" spans="1:3" ht="15.75" thickBot="1" x14ac:dyDescent="0.3">
      <c r="A431" s="65" t="s">
        <v>688</v>
      </c>
      <c r="B431" s="65" t="s">
        <v>129</v>
      </c>
      <c r="C431" s="66" t="s">
        <v>676</v>
      </c>
    </row>
    <row r="432" spans="1:3" ht="15.75" thickBot="1" x14ac:dyDescent="0.3">
      <c r="A432" s="65" t="s">
        <v>688</v>
      </c>
      <c r="B432" s="65" t="s">
        <v>669</v>
      </c>
      <c r="C432" s="66" t="s">
        <v>666</v>
      </c>
    </row>
    <row r="433" spans="1:3" ht="15.75" thickBot="1" x14ac:dyDescent="0.3">
      <c r="A433" s="65" t="s">
        <v>688</v>
      </c>
      <c r="B433" s="65" t="s">
        <v>135</v>
      </c>
      <c r="C433" s="66" t="s">
        <v>677</v>
      </c>
    </row>
    <row r="434" spans="1:3" ht="15.75" thickBot="1" x14ac:dyDescent="0.3">
      <c r="A434" s="65" t="s">
        <v>688</v>
      </c>
      <c r="B434" s="65" t="s">
        <v>137</v>
      </c>
      <c r="C434" s="66" t="s">
        <v>678</v>
      </c>
    </row>
    <row r="435" spans="1:3" ht="15.75" thickBot="1" x14ac:dyDescent="0.3">
      <c r="A435" s="65" t="s">
        <v>688</v>
      </c>
      <c r="B435" s="65" t="s">
        <v>692</v>
      </c>
      <c r="C435" s="66" t="s">
        <v>667</v>
      </c>
    </row>
    <row r="436" spans="1:3" ht="15.75" thickBot="1" x14ac:dyDescent="0.3">
      <c r="A436" s="65" t="s">
        <v>688</v>
      </c>
      <c r="B436" s="65" t="s">
        <v>136</v>
      </c>
      <c r="C436" s="66" t="s">
        <v>679</v>
      </c>
    </row>
    <row r="437" spans="1:3" ht="15.75" thickBot="1" x14ac:dyDescent="0.3">
      <c r="A437" s="65" t="s">
        <v>688</v>
      </c>
      <c r="B437" s="65" t="s">
        <v>139</v>
      </c>
      <c r="C437" s="66" t="s">
        <v>680</v>
      </c>
    </row>
    <row r="438" spans="1:3" ht="15.75" thickBot="1" x14ac:dyDescent="0.3">
      <c r="A438" s="65" t="s">
        <v>688</v>
      </c>
      <c r="B438" s="65" t="s">
        <v>140</v>
      </c>
      <c r="C438" s="66" t="s">
        <v>681</v>
      </c>
    </row>
    <row r="439" spans="1:3" ht="15.75" thickBot="1" x14ac:dyDescent="0.3">
      <c r="A439" s="65" t="s">
        <v>688</v>
      </c>
      <c r="B439" s="65" t="s">
        <v>141</v>
      </c>
      <c r="C439" s="66" t="s">
        <v>696</v>
      </c>
    </row>
    <row r="440" spans="1:3" ht="15.75" thickBot="1" x14ac:dyDescent="0.3">
      <c r="A440" s="65" t="s">
        <v>688</v>
      </c>
      <c r="B440" s="65" t="s">
        <v>142</v>
      </c>
      <c r="C440" s="66" t="s">
        <v>682</v>
      </c>
    </row>
    <row r="441" spans="1:3" ht="15.75" thickBot="1" x14ac:dyDescent="0.3">
      <c r="A441" s="65" t="s">
        <v>688</v>
      </c>
      <c r="B441" s="65" t="s">
        <v>693</v>
      </c>
      <c r="C441" s="66" t="s">
        <v>683</v>
      </c>
    </row>
    <row r="442" spans="1:3" ht="15.75" thickBot="1" x14ac:dyDescent="0.3">
      <c r="A442" s="65" t="s">
        <v>688</v>
      </c>
      <c r="B442" s="65" t="s">
        <v>144</v>
      </c>
      <c r="C442" s="66" t="s">
        <v>684</v>
      </c>
    </row>
    <row r="443" spans="1:3" ht="15.75" thickBot="1" x14ac:dyDescent="0.3">
      <c r="A443" s="65" t="s">
        <v>688</v>
      </c>
      <c r="B443" s="65" t="s">
        <v>694</v>
      </c>
      <c r="C443" s="66" t="s">
        <v>685</v>
      </c>
    </row>
    <row r="444" spans="1:3" ht="15.75" thickBot="1" x14ac:dyDescent="0.3">
      <c r="A444" s="65" t="s">
        <v>688</v>
      </c>
      <c r="B444" s="65" t="s">
        <v>695</v>
      </c>
      <c r="C444" s="66" t="s">
        <v>686</v>
      </c>
    </row>
    <row r="445" spans="1:3" ht="15.75" thickBot="1" x14ac:dyDescent="0.3">
      <c r="A445" s="65" t="s">
        <v>688</v>
      </c>
      <c r="B445" s="65" t="s">
        <v>148</v>
      </c>
      <c r="C445" s="66" t="s">
        <v>687</v>
      </c>
    </row>
  </sheetData>
  <autoFilter ref="A2:C445" xr:uid="{F24A8022-68A5-4DC6-A3AF-3913F134438E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3C95-0D7A-43DC-83BF-D67C74BBA1DE}">
  <dimension ref="B3:C134"/>
  <sheetViews>
    <sheetView topLeftCell="A114" workbookViewId="0">
      <selection activeCell="F129" sqref="F129"/>
    </sheetView>
  </sheetViews>
  <sheetFormatPr defaultRowHeight="15" x14ac:dyDescent="0.25"/>
  <cols>
    <col min="1" max="1" width="29.7109375" customWidth="1"/>
    <col min="2" max="2" width="25.7109375" customWidth="1"/>
    <col min="3" max="3" width="15.7109375" bestFit="1" customWidth="1"/>
    <col min="4" max="4" width="14.28515625" customWidth="1"/>
  </cols>
  <sheetData>
    <row r="3" spans="2:3" x14ac:dyDescent="0.25">
      <c r="B3" s="81" t="s">
        <v>700</v>
      </c>
      <c r="C3" s="81" t="s">
        <v>701</v>
      </c>
    </row>
    <row r="4" spans="2:3" x14ac:dyDescent="0.25">
      <c r="B4" s="81">
        <v>336081</v>
      </c>
      <c r="C4" s="56">
        <v>252.44</v>
      </c>
    </row>
    <row r="5" spans="2:3" x14ac:dyDescent="0.25">
      <c r="B5" s="81">
        <v>336084</v>
      </c>
      <c r="C5" s="56">
        <v>132.12</v>
      </c>
    </row>
    <row r="6" spans="2:3" x14ac:dyDescent="0.25">
      <c r="B6" s="81">
        <v>336091</v>
      </c>
      <c r="C6" s="56">
        <v>335.56</v>
      </c>
    </row>
    <row r="7" spans="2:3" x14ac:dyDescent="0.25">
      <c r="B7" s="81">
        <v>336105</v>
      </c>
      <c r="C7" s="56">
        <v>224.33</v>
      </c>
    </row>
    <row r="8" spans="2:3" x14ac:dyDescent="0.25">
      <c r="B8" s="81">
        <v>336109</v>
      </c>
      <c r="C8" s="56">
        <v>307.44</v>
      </c>
    </row>
    <row r="9" spans="2:3" x14ac:dyDescent="0.25">
      <c r="B9" s="81">
        <v>336116</v>
      </c>
      <c r="C9" s="56">
        <v>104</v>
      </c>
    </row>
    <row r="10" spans="2:3" x14ac:dyDescent="0.25">
      <c r="B10" s="81">
        <v>336119</v>
      </c>
      <c r="C10" s="56">
        <v>348.28</v>
      </c>
    </row>
    <row r="11" spans="2:3" x14ac:dyDescent="0.25">
      <c r="B11" s="81">
        <v>336120</v>
      </c>
      <c r="C11" s="56">
        <v>74.94</v>
      </c>
    </row>
    <row r="12" spans="2:3" x14ac:dyDescent="0.25">
      <c r="B12" s="81">
        <v>336125</v>
      </c>
      <c r="C12" s="56">
        <v>431.4</v>
      </c>
    </row>
    <row r="13" spans="2:3" x14ac:dyDescent="0.25">
      <c r="B13" s="81">
        <v>336148</v>
      </c>
      <c r="C13" s="56">
        <v>74.94</v>
      </c>
    </row>
    <row r="14" spans="2:3" x14ac:dyDescent="0.25">
      <c r="B14" s="81">
        <v>336152</v>
      </c>
      <c r="C14" s="56">
        <v>613.45000000000005</v>
      </c>
    </row>
    <row r="15" spans="2:3" x14ac:dyDescent="0.25">
      <c r="B15" s="81">
        <v>336155</v>
      </c>
      <c r="C15" s="56">
        <v>207.55</v>
      </c>
    </row>
    <row r="16" spans="2:3" x14ac:dyDescent="0.25">
      <c r="B16" s="81">
        <v>336180</v>
      </c>
      <c r="C16" s="56">
        <v>133.06</v>
      </c>
    </row>
    <row r="17" spans="2:3" x14ac:dyDescent="0.25">
      <c r="B17" s="81">
        <v>336199</v>
      </c>
      <c r="C17" s="56">
        <v>236.1</v>
      </c>
    </row>
    <row r="18" spans="2:3" x14ac:dyDescent="0.25">
      <c r="B18" s="81">
        <v>336200</v>
      </c>
      <c r="C18" s="56">
        <v>128.51</v>
      </c>
    </row>
    <row r="19" spans="2:3" x14ac:dyDescent="0.25">
      <c r="B19" s="81">
        <v>336205</v>
      </c>
      <c r="C19" s="56">
        <v>457.8</v>
      </c>
    </row>
    <row r="20" spans="2:3" x14ac:dyDescent="0.25">
      <c r="B20" s="81">
        <v>336216</v>
      </c>
      <c r="C20" s="56">
        <v>182.56</v>
      </c>
    </row>
    <row r="21" spans="2:3" x14ac:dyDescent="0.25">
      <c r="B21" s="98">
        <v>336217</v>
      </c>
      <c r="C21" s="56">
        <v>269.75</v>
      </c>
    </row>
    <row r="22" spans="2:3" x14ac:dyDescent="0.25">
      <c r="B22" s="81">
        <v>336222</v>
      </c>
      <c r="C22" s="56">
        <v>360.53</v>
      </c>
    </row>
    <row r="23" spans="2:3" x14ac:dyDescent="0.25">
      <c r="B23" s="81">
        <v>336223</v>
      </c>
      <c r="C23" s="56">
        <v>199.84</v>
      </c>
    </row>
    <row r="24" spans="2:3" x14ac:dyDescent="0.25">
      <c r="B24" s="81">
        <v>336224</v>
      </c>
      <c r="C24" s="56">
        <v>74.94</v>
      </c>
    </row>
    <row r="25" spans="2:3" x14ac:dyDescent="0.25">
      <c r="B25" s="81">
        <v>336225</v>
      </c>
      <c r="C25" s="56">
        <v>74.94</v>
      </c>
    </row>
    <row r="26" spans="2:3" x14ac:dyDescent="0.25">
      <c r="B26" s="81">
        <v>336227</v>
      </c>
      <c r="C26" s="56">
        <v>633.87</v>
      </c>
    </row>
    <row r="27" spans="2:3" x14ac:dyDescent="0.25">
      <c r="B27" s="81">
        <v>336231</v>
      </c>
      <c r="C27" s="56">
        <v>310.11</v>
      </c>
    </row>
    <row r="28" spans="2:3" x14ac:dyDescent="0.25">
      <c r="B28" s="81">
        <v>336234</v>
      </c>
      <c r="C28" s="56">
        <v>49.96</v>
      </c>
    </row>
    <row r="29" spans="2:3" x14ac:dyDescent="0.25">
      <c r="B29" s="81">
        <v>336236</v>
      </c>
      <c r="C29" s="56">
        <v>153.47999999999999</v>
      </c>
    </row>
    <row r="30" spans="2:3" x14ac:dyDescent="0.25">
      <c r="B30" s="81">
        <v>336237</v>
      </c>
      <c r="C30" s="56">
        <v>187.11</v>
      </c>
    </row>
    <row r="31" spans="2:3" x14ac:dyDescent="0.25">
      <c r="B31" s="81">
        <v>336263</v>
      </c>
      <c r="C31" s="56">
        <v>604.78</v>
      </c>
    </row>
    <row r="32" spans="2:3" x14ac:dyDescent="0.25">
      <c r="B32" s="81">
        <v>336267</v>
      </c>
      <c r="C32" s="56">
        <v>219.79</v>
      </c>
    </row>
    <row r="33" spans="2:3" x14ac:dyDescent="0.25">
      <c r="B33" s="81">
        <v>336272</v>
      </c>
      <c r="C33" s="56">
        <v>74.94</v>
      </c>
    </row>
    <row r="34" spans="2:3" x14ac:dyDescent="0.25">
      <c r="B34" s="81">
        <v>337896</v>
      </c>
      <c r="C34" s="56">
        <v>361.96</v>
      </c>
    </row>
    <row r="35" spans="2:3" x14ac:dyDescent="0.25">
      <c r="B35" s="81">
        <v>10311030</v>
      </c>
      <c r="C35" s="56">
        <v>173.42</v>
      </c>
    </row>
    <row r="36" spans="2:3" x14ac:dyDescent="0.25">
      <c r="B36" s="81">
        <v>10356487</v>
      </c>
      <c r="C36" s="56">
        <v>415.05</v>
      </c>
    </row>
    <row r="37" spans="2:3" x14ac:dyDescent="0.25">
      <c r="B37" s="81">
        <v>10368178</v>
      </c>
      <c r="C37" s="56">
        <v>212.08</v>
      </c>
    </row>
    <row r="38" spans="2:3" x14ac:dyDescent="0.25">
      <c r="B38" s="81">
        <v>10368179</v>
      </c>
      <c r="C38" s="56">
        <v>149.38999999999999</v>
      </c>
    </row>
    <row r="39" spans="2:3" x14ac:dyDescent="0.25">
      <c r="B39" s="81">
        <v>10378081</v>
      </c>
      <c r="C39" s="56">
        <v>24.98</v>
      </c>
    </row>
    <row r="40" spans="2:3" x14ac:dyDescent="0.25">
      <c r="B40" s="81">
        <v>10401724</v>
      </c>
      <c r="C40" s="56">
        <v>54.04</v>
      </c>
    </row>
    <row r="41" spans="2:3" x14ac:dyDescent="0.25">
      <c r="B41" s="81">
        <v>10407372</v>
      </c>
      <c r="C41" s="56">
        <v>228.9</v>
      </c>
    </row>
    <row r="42" spans="2:3" x14ac:dyDescent="0.25">
      <c r="B42" s="81">
        <v>10415185</v>
      </c>
      <c r="C42" s="56">
        <v>141.24</v>
      </c>
    </row>
    <row r="43" spans="2:3" x14ac:dyDescent="0.25">
      <c r="B43" s="81">
        <v>10420847</v>
      </c>
      <c r="C43" s="56">
        <v>411.45</v>
      </c>
    </row>
    <row r="44" spans="2:3" x14ac:dyDescent="0.25">
      <c r="B44" s="81">
        <v>10421170</v>
      </c>
      <c r="C44" s="56">
        <v>216.18</v>
      </c>
    </row>
    <row r="45" spans="2:3" x14ac:dyDescent="0.25">
      <c r="B45" s="81">
        <v>10421587</v>
      </c>
      <c r="C45" s="56">
        <v>54.04</v>
      </c>
    </row>
    <row r="46" spans="2:3" x14ac:dyDescent="0.25">
      <c r="B46" s="81">
        <v>10421625</v>
      </c>
      <c r="C46" s="56">
        <v>116.25</v>
      </c>
    </row>
    <row r="47" spans="2:3" x14ac:dyDescent="0.25">
      <c r="B47" s="81">
        <v>10422888</v>
      </c>
      <c r="C47" s="56">
        <v>356.94</v>
      </c>
    </row>
    <row r="48" spans="2:3" x14ac:dyDescent="0.25">
      <c r="B48" s="81">
        <v>10426179</v>
      </c>
      <c r="C48" s="56">
        <v>455.93</v>
      </c>
    </row>
    <row r="49" spans="2:3" x14ac:dyDescent="0.25">
      <c r="B49" s="81">
        <v>10427255</v>
      </c>
      <c r="C49" s="56">
        <v>124.9</v>
      </c>
    </row>
    <row r="50" spans="2:3" x14ac:dyDescent="0.25">
      <c r="B50" s="81">
        <v>10427257</v>
      </c>
      <c r="C50" s="56">
        <v>166.21</v>
      </c>
    </row>
    <row r="51" spans="2:3" x14ac:dyDescent="0.25">
      <c r="B51" s="81">
        <v>10429657</v>
      </c>
      <c r="C51" s="56">
        <v>203.92</v>
      </c>
    </row>
    <row r="52" spans="2:3" x14ac:dyDescent="0.25">
      <c r="B52" s="81">
        <v>10432938</v>
      </c>
      <c r="C52" s="56">
        <v>183.03</v>
      </c>
    </row>
    <row r="53" spans="2:3" x14ac:dyDescent="0.25">
      <c r="B53" s="81">
        <v>10437623</v>
      </c>
      <c r="C53" s="56">
        <v>153.96</v>
      </c>
    </row>
    <row r="54" spans="2:3" x14ac:dyDescent="0.25">
      <c r="B54" s="81">
        <v>10437751</v>
      </c>
      <c r="C54" s="56">
        <v>104</v>
      </c>
    </row>
    <row r="55" spans="2:3" x14ac:dyDescent="0.25">
      <c r="B55" s="81">
        <v>10437946</v>
      </c>
      <c r="C55" s="56">
        <v>310.08999999999997</v>
      </c>
    </row>
    <row r="56" spans="2:3" x14ac:dyDescent="0.25">
      <c r="B56" s="81">
        <v>10439661</v>
      </c>
      <c r="C56" s="56">
        <v>128.97999999999999</v>
      </c>
    </row>
    <row r="57" spans="2:3" x14ac:dyDescent="0.25">
      <c r="B57" s="81">
        <v>10458514</v>
      </c>
      <c r="C57" s="56">
        <v>224.82</v>
      </c>
    </row>
    <row r="58" spans="2:3" x14ac:dyDescent="0.25">
      <c r="B58" s="81">
        <v>67980406</v>
      </c>
      <c r="C58" s="56">
        <v>121.04</v>
      </c>
    </row>
    <row r="59" spans="2:3" x14ac:dyDescent="0.25">
      <c r="B59" s="81">
        <v>67980627</v>
      </c>
      <c r="C59" s="56">
        <v>18.62</v>
      </c>
    </row>
    <row r="60" spans="2:3" x14ac:dyDescent="0.25">
      <c r="B60" s="81">
        <v>67981038</v>
      </c>
      <c r="C60" s="56">
        <v>196.76</v>
      </c>
    </row>
    <row r="61" spans="2:3" x14ac:dyDescent="0.25">
      <c r="B61" s="81">
        <v>67981135</v>
      </c>
      <c r="C61" s="56">
        <v>85.56</v>
      </c>
    </row>
    <row r="62" spans="2:3" x14ac:dyDescent="0.25">
      <c r="B62" s="81">
        <v>67981232</v>
      </c>
      <c r="C62" s="56">
        <v>659.22</v>
      </c>
    </row>
    <row r="63" spans="2:3" x14ac:dyDescent="0.25">
      <c r="B63" s="81">
        <v>67981259</v>
      </c>
      <c r="C63" s="56">
        <v>84.41</v>
      </c>
    </row>
    <row r="64" spans="2:3" x14ac:dyDescent="0.25">
      <c r="B64" s="81">
        <v>67982590</v>
      </c>
      <c r="C64" s="56">
        <v>303.7</v>
      </c>
    </row>
    <row r="65" spans="2:3" x14ac:dyDescent="0.25">
      <c r="B65" s="81">
        <v>67982808</v>
      </c>
      <c r="C65" s="56">
        <v>29.99</v>
      </c>
    </row>
    <row r="66" spans="2:3" x14ac:dyDescent="0.25">
      <c r="B66" s="81">
        <v>67982867</v>
      </c>
      <c r="C66" s="56">
        <v>38.020000000000003</v>
      </c>
    </row>
    <row r="67" spans="2:3" x14ac:dyDescent="0.25">
      <c r="B67" s="81">
        <v>67982883</v>
      </c>
      <c r="C67" s="56">
        <v>19.03</v>
      </c>
    </row>
    <row r="68" spans="2:3" x14ac:dyDescent="0.25">
      <c r="B68" s="81">
        <v>67982913</v>
      </c>
      <c r="C68" s="56">
        <v>37.92</v>
      </c>
    </row>
    <row r="69" spans="2:3" x14ac:dyDescent="0.25">
      <c r="B69" s="81">
        <v>67982948</v>
      </c>
      <c r="C69" s="56">
        <v>33.200000000000003</v>
      </c>
    </row>
    <row r="70" spans="2:3" x14ac:dyDescent="0.25">
      <c r="B70" s="81">
        <v>67982956</v>
      </c>
      <c r="C70" s="56">
        <v>6046.76</v>
      </c>
    </row>
    <row r="71" spans="2:3" x14ac:dyDescent="0.25">
      <c r="B71" s="81">
        <v>67982964</v>
      </c>
      <c r="C71" s="56">
        <v>18.62</v>
      </c>
    </row>
    <row r="72" spans="2:3" x14ac:dyDescent="0.25">
      <c r="B72" s="81">
        <v>67982999</v>
      </c>
      <c r="C72" s="56">
        <v>190.19</v>
      </c>
    </row>
    <row r="73" spans="2:3" x14ac:dyDescent="0.25">
      <c r="B73" s="81">
        <v>67983014</v>
      </c>
      <c r="C73" s="56">
        <v>134.99</v>
      </c>
    </row>
    <row r="74" spans="2:3" x14ac:dyDescent="0.25">
      <c r="B74" s="81">
        <v>67983030</v>
      </c>
      <c r="C74" s="56">
        <v>82.42</v>
      </c>
    </row>
    <row r="75" spans="2:3" x14ac:dyDescent="0.25">
      <c r="B75" s="81">
        <v>67983049</v>
      </c>
      <c r="C75" s="56">
        <v>41.21</v>
      </c>
    </row>
    <row r="76" spans="2:3" x14ac:dyDescent="0.25">
      <c r="B76" s="81">
        <v>67983065</v>
      </c>
      <c r="C76" s="56">
        <v>40.51</v>
      </c>
    </row>
    <row r="77" spans="2:3" x14ac:dyDescent="0.25">
      <c r="B77" s="81">
        <v>67983251</v>
      </c>
      <c r="C77" s="56">
        <v>21.48</v>
      </c>
    </row>
    <row r="78" spans="2:3" x14ac:dyDescent="0.25">
      <c r="B78" s="81">
        <v>67983570</v>
      </c>
      <c r="C78" s="56">
        <v>25.63</v>
      </c>
    </row>
    <row r="79" spans="2:3" x14ac:dyDescent="0.25">
      <c r="B79" s="81">
        <v>67983596</v>
      </c>
      <c r="C79" s="56">
        <v>141.05000000000001</v>
      </c>
    </row>
    <row r="80" spans="2:3" x14ac:dyDescent="0.25">
      <c r="B80" s="81">
        <v>67983685</v>
      </c>
      <c r="C80" s="56">
        <v>39.89</v>
      </c>
    </row>
    <row r="81" spans="2:3" x14ac:dyDescent="0.25">
      <c r="B81" s="81">
        <v>67983693</v>
      </c>
      <c r="C81" s="56">
        <v>24.88</v>
      </c>
    </row>
    <row r="82" spans="2:3" x14ac:dyDescent="0.25">
      <c r="B82" s="81">
        <v>67983782</v>
      </c>
      <c r="C82" s="56">
        <v>42.38</v>
      </c>
    </row>
    <row r="83" spans="2:3" x14ac:dyDescent="0.25">
      <c r="B83" s="81">
        <v>67983812</v>
      </c>
      <c r="C83" s="56">
        <v>81.239999999999995</v>
      </c>
    </row>
    <row r="84" spans="2:3" x14ac:dyDescent="0.25">
      <c r="B84" s="81">
        <v>67985807</v>
      </c>
      <c r="C84" s="56">
        <v>7077.21</v>
      </c>
    </row>
    <row r="85" spans="2:3" x14ac:dyDescent="0.25">
      <c r="B85" s="81">
        <v>68925409</v>
      </c>
      <c r="C85" s="56">
        <v>397.89</v>
      </c>
    </row>
    <row r="86" spans="2:3" x14ac:dyDescent="0.25">
      <c r="B86" s="81">
        <v>69581517</v>
      </c>
      <c r="C86" s="56">
        <v>21.48</v>
      </c>
    </row>
    <row r="87" spans="2:3" x14ac:dyDescent="0.25">
      <c r="B87" s="81">
        <v>71565760</v>
      </c>
      <c r="C87" s="56">
        <v>34.71</v>
      </c>
    </row>
    <row r="88" spans="2:3" x14ac:dyDescent="0.25">
      <c r="B88" s="81">
        <v>71565779</v>
      </c>
      <c r="C88" s="56">
        <v>746.25</v>
      </c>
    </row>
    <row r="89" spans="2:3" x14ac:dyDescent="0.25">
      <c r="B89" s="81">
        <v>71566805</v>
      </c>
      <c r="C89" s="56">
        <v>83.05</v>
      </c>
    </row>
    <row r="90" spans="2:3" x14ac:dyDescent="0.25">
      <c r="B90" s="81">
        <v>71566813</v>
      </c>
      <c r="C90" s="56">
        <v>53.15</v>
      </c>
    </row>
    <row r="91" spans="2:3" x14ac:dyDescent="0.25">
      <c r="B91" s="81">
        <v>71567232</v>
      </c>
      <c r="C91" s="56">
        <v>158.6</v>
      </c>
    </row>
    <row r="92" spans="2:3" x14ac:dyDescent="0.25">
      <c r="B92" s="81">
        <v>71567372</v>
      </c>
      <c r="C92" s="56">
        <v>30.28</v>
      </c>
    </row>
    <row r="93" spans="2:3" x14ac:dyDescent="0.25">
      <c r="B93" s="81">
        <v>71568050</v>
      </c>
      <c r="C93" s="56">
        <v>77.27</v>
      </c>
    </row>
    <row r="94" spans="2:3" x14ac:dyDescent="0.25">
      <c r="B94" s="81">
        <v>71568425</v>
      </c>
      <c r="C94" s="56">
        <v>71.44</v>
      </c>
    </row>
    <row r="95" spans="2:3" x14ac:dyDescent="0.25">
      <c r="B95" s="81">
        <v>71622292</v>
      </c>
      <c r="C95" s="56">
        <v>19.73</v>
      </c>
    </row>
    <row r="96" spans="2:3" x14ac:dyDescent="0.25">
      <c r="B96" s="81">
        <v>71928138</v>
      </c>
      <c r="C96" s="56">
        <v>1690.15</v>
      </c>
    </row>
    <row r="97" spans="2:3" x14ac:dyDescent="0.25">
      <c r="B97" s="81">
        <v>72167203</v>
      </c>
      <c r="C97" s="56">
        <v>88.79</v>
      </c>
    </row>
    <row r="98" spans="2:3" x14ac:dyDescent="0.25">
      <c r="B98" s="81">
        <v>72257067</v>
      </c>
      <c r="C98" s="56">
        <v>784.15</v>
      </c>
    </row>
    <row r="99" spans="2:3" x14ac:dyDescent="0.25">
      <c r="B99" s="81">
        <v>72257075</v>
      </c>
      <c r="C99" s="56">
        <v>2292.08</v>
      </c>
    </row>
    <row r="100" spans="2:3" x14ac:dyDescent="0.25">
      <c r="B100" s="81">
        <v>72325704</v>
      </c>
      <c r="C100" s="56">
        <v>84.64</v>
      </c>
    </row>
    <row r="101" spans="2:3" x14ac:dyDescent="0.25">
      <c r="B101" s="81">
        <v>72854359</v>
      </c>
      <c r="C101" s="56">
        <v>173.78</v>
      </c>
    </row>
    <row r="102" spans="2:3" x14ac:dyDescent="0.25">
      <c r="B102" s="81">
        <v>73343757</v>
      </c>
      <c r="C102" s="56">
        <v>710.15</v>
      </c>
    </row>
    <row r="103" spans="2:3" x14ac:dyDescent="0.25">
      <c r="B103" s="81">
        <v>74455770</v>
      </c>
      <c r="C103" s="56">
        <v>204.35</v>
      </c>
    </row>
    <row r="104" spans="2:3" x14ac:dyDescent="0.25">
      <c r="B104" s="81">
        <v>74713566</v>
      </c>
      <c r="C104" s="56">
        <v>38.92</v>
      </c>
    </row>
    <row r="105" spans="2:3" x14ac:dyDescent="0.25">
      <c r="B105" s="81">
        <v>74713582</v>
      </c>
      <c r="C105" s="56">
        <v>335.13</v>
      </c>
    </row>
    <row r="106" spans="2:3" x14ac:dyDescent="0.25">
      <c r="B106" s="81">
        <v>74758926</v>
      </c>
      <c r="C106" s="56">
        <v>245.67</v>
      </c>
    </row>
    <row r="107" spans="2:3" x14ac:dyDescent="0.25">
      <c r="B107" s="81">
        <v>74758977</v>
      </c>
      <c r="C107" s="56">
        <v>29.87</v>
      </c>
    </row>
    <row r="108" spans="2:3" x14ac:dyDescent="0.25">
      <c r="B108" s="81">
        <v>74759000</v>
      </c>
      <c r="C108" s="56">
        <v>809.2</v>
      </c>
    </row>
    <row r="109" spans="2:3" x14ac:dyDescent="0.25">
      <c r="B109" s="81">
        <v>74814320</v>
      </c>
      <c r="C109" s="56">
        <v>21.19</v>
      </c>
    </row>
    <row r="110" spans="2:3" x14ac:dyDescent="0.25">
      <c r="B110" s="81">
        <v>74814370</v>
      </c>
      <c r="C110" s="56">
        <v>3253.38</v>
      </c>
    </row>
    <row r="111" spans="2:3" x14ac:dyDescent="0.25">
      <c r="B111" s="81">
        <v>74814389</v>
      </c>
      <c r="C111" s="56">
        <v>1777.64</v>
      </c>
    </row>
    <row r="112" spans="2:3" x14ac:dyDescent="0.25">
      <c r="B112" s="81">
        <v>74814397</v>
      </c>
      <c r="C112" s="56">
        <v>29.48</v>
      </c>
    </row>
    <row r="113" spans="2:3" x14ac:dyDescent="0.25">
      <c r="B113" s="81">
        <v>74814400</v>
      </c>
      <c r="C113" s="56">
        <v>29.48</v>
      </c>
    </row>
    <row r="114" spans="2:3" x14ac:dyDescent="0.25">
      <c r="B114" s="81">
        <v>74814427</v>
      </c>
      <c r="C114" s="56">
        <v>21.19</v>
      </c>
    </row>
    <row r="115" spans="2:3" x14ac:dyDescent="0.25">
      <c r="B115" s="81">
        <v>74977725</v>
      </c>
      <c r="C115" s="56">
        <v>10.72</v>
      </c>
    </row>
    <row r="116" spans="2:3" x14ac:dyDescent="0.25">
      <c r="B116" s="81">
        <v>75251388</v>
      </c>
      <c r="C116" s="56">
        <v>1010.82</v>
      </c>
    </row>
    <row r="117" spans="2:3" x14ac:dyDescent="0.25">
      <c r="B117" s="81">
        <v>75900858</v>
      </c>
      <c r="C117" s="56">
        <v>33.58</v>
      </c>
    </row>
    <row r="118" spans="2:3" x14ac:dyDescent="0.25">
      <c r="B118" s="81">
        <v>76230414</v>
      </c>
      <c r="C118" s="56">
        <v>18.62</v>
      </c>
    </row>
    <row r="119" spans="2:3" x14ac:dyDescent="0.25">
      <c r="B119" s="81">
        <v>76230457</v>
      </c>
      <c r="C119" s="56">
        <v>828.55</v>
      </c>
    </row>
    <row r="120" spans="2:3" x14ac:dyDescent="0.25">
      <c r="B120" s="81">
        <v>76245357</v>
      </c>
      <c r="C120" s="56">
        <v>1468.12</v>
      </c>
    </row>
    <row r="121" spans="2:3" x14ac:dyDescent="0.25">
      <c r="B121" s="81">
        <v>76622371</v>
      </c>
      <c r="C121" s="56">
        <v>401.05</v>
      </c>
    </row>
    <row r="122" spans="2:3" x14ac:dyDescent="0.25">
      <c r="B122" s="81">
        <v>76703304</v>
      </c>
      <c r="C122" s="56">
        <v>85.74</v>
      </c>
    </row>
    <row r="123" spans="2:3" x14ac:dyDescent="0.25">
      <c r="B123" s="81">
        <v>76703355</v>
      </c>
      <c r="C123" s="56">
        <v>42.78</v>
      </c>
    </row>
    <row r="124" spans="2:3" x14ac:dyDescent="0.25">
      <c r="B124" s="93">
        <v>76703380</v>
      </c>
      <c r="C124" s="95">
        <v>21.39</v>
      </c>
    </row>
    <row r="125" spans="2:3" x14ac:dyDescent="0.25">
      <c r="B125" s="81">
        <v>76930793</v>
      </c>
      <c r="C125" s="56">
        <v>190.59</v>
      </c>
    </row>
    <row r="126" spans="2:3" x14ac:dyDescent="0.25">
      <c r="B126" s="81">
        <v>77035038</v>
      </c>
      <c r="C126" s="56">
        <v>129.88</v>
      </c>
    </row>
    <row r="127" spans="2:3" x14ac:dyDescent="0.25">
      <c r="B127" s="81">
        <v>77068556</v>
      </c>
      <c r="C127" s="56">
        <v>199.33</v>
      </c>
    </row>
    <row r="128" spans="2:3" x14ac:dyDescent="0.25">
      <c r="B128" s="81">
        <v>77134419</v>
      </c>
      <c r="C128" s="56">
        <v>30.28</v>
      </c>
    </row>
    <row r="129" spans="2:3" x14ac:dyDescent="0.25">
      <c r="B129" s="81">
        <v>77706064</v>
      </c>
      <c r="C129" s="56">
        <v>153.81</v>
      </c>
    </row>
    <row r="130" spans="2:3" x14ac:dyDescent="0.25">
      <c r="B130" s="81">
        <v>77815319</v>
      </c>
      <c r="C130" s="56">
        <v>221.98</v>
      </c>
    </row>
    <row r="131" spans="2:3" x14ac:dyDescent="0.25">
      <c r="B131" s="81">
        <v>77834267</v>
      </c>
      <c r="C131" s="56">
        <v>63.09</v>
      </c>
    </row>
    <row r="132" spans="2:3" x14ac:dyDescent="0.25">
      <c r="B132" s="93">
        <v>79859151</v>
      </c>
      <c r="C132" s="95">
        <v>342.9</v>
      </c>
    </row>
    <row r="134" spans="2:3" x14ac:dyDescent="0.25">
      <c r="C134" s="112">
        <v>47632.53</v>
      </c>
    </row>
  </sheetData>
  <autoFilter ref="B3:C132" xr:uid="{325C3C95-0D7A-43DC-83BF-D67C74BBA1DE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F5A1-D3F8-4EBF-8011-3382811E778E}">
  <dimension ref="C3:D62"/>
  <sheetViews>
    <sheetView topLeftCell="A46" workbookViewId="0">
      <selection activeCell="F55" sqref="F55"/>
    </sheetView>
  </sheetViews>
  <sheetFormatPr defaultRowHeight="15" x14ac:dyDescent="0.25"/>
  <cols>
    <col min="3" max="3" width="38.42578125" customWidth="1"/>
    <col min="4" max="4" width="14.42578125" bestFit="1" customWidth="1"/>
    <col min="5" max="5" width="12.85546875" bestFit="1" customWidth="1"/>
    <col min="6" max="6" width="39.7109375" bestFit="1" customWidth="1"/>
  </cols>
  <sheetData>
    <row r="3" spans="3:4" x14ac:dyDescent="0.25">
      <c r="C3" s="116" t="s">
        <v>705</v>
      </c>
      <c r="D3" s="116"/>
    </row>
    <row r="4" spans="3:4" x14ac:dyDescent="0.25">
      <c r="C4" s="21" t="s">
        <v>716</v>
      </c>
      <c r="D4" s="81" t="s">
        <v>706</v>
      </c>
    </row>
    <row r="5" spans="3:4" x14ac:dyDescent="0.25">
      <c r="C5" s="21">
        <v>336081</v>
      </c>
      <c r="D5" s="95">
        <v>445</v>
      </c>
    </row>
    <row r="6" spans="3:4" x14ac:dyDescent="0.25">
      <c r="C6" s="21">
        <v>336084</v>
      </c>
      <c r="D6" s="95">
        <v>332.84</v>
      </c>
    </row>
    <row r="7" spans="3:4" x14ac:dyDescent="0.25">
      <c r="C7" s="21">
        <v>336091</v>
      </c>
      <c r="D7" s="95">
        <v>129.4</v>
      </c>
    </row>
    <row r="8" spans="3:4" x14ac:dyDescent="0.25">
      <c r="C8" s="21">
        <v>336105</v>
      </c>
      <c r="D8" s="95">
        <v>473.11</v>
      </c>
    </row>
    <row r="9" spans="3:4" x14ac:dyDescent="0.25">
      <c r="C9" s="21">
        <v>336109</v>
      </c>
      <c r="D9" s="95">
        <v>390</v>
      </c>
    </row>
    <row r="10" spans="3:4" x14ac:dyDescent="0.25">
      <c r="C10" s="21">
        <v>336116</v>
      </c>
      <c r="D10" s="95">
        <v>128.47999999999999</v>
      </c>
    </row>
    <row r="11" spans="3:4" x14ac:dyDescent="0.25">
      <c r="C11" s="21">
        <v>336119</v>
      </c>
      <c r="D11" s="95">
        <v>116.68</v>
      </c>
    </row>
    <row r="12" spans="3:4" x14ac:dyDescent="0.25">
      <c r="C12" s="21">
        <v>336120</v>
      </c>
      <c r="D12" s="95">
        <v>157.54</v>
      </c>
    </row>
    <row r="13" spans="3:4" x14ac:dyDescent="0.25">
      <c r="C13" s="21">
        <v>336125</v>
      </c>
      <c r="D13" s="95">
        <v>33.56</v>
      </c>
    </row>
    <row r="14" spans="3:4" x14ac:dyDescent="0.25">
      <c r="C14" s="91">
        <v>336148</v>
      </c>
      <c r="D14" s="95">
        <v>225.38</v>
      </c>
    </row>
    <row r="15" spans="3:4" x14ac:dyDescent="0.25">
      <c r="C15" s="91">
        <v>336152</v>
      </c>
      <c r="D15" s="95">
        <v>888.15</v>
      </c>
    </row>
    <row r="16" spans="3:4" x14ac:dyDescent="0.25">
      <c r="C16" s="21">
        <v>336155</v>
      </c>
      <c r="D16" s="95">
        <v>257.41000000000003</v>
      </c>
    </row>
    <row r="17" spans="3:4" x14ac:dyDescent="0.25">
      <c r="C17" s="21">
        <v>336180</v>
      </c>
      <c r="D17" s="95">
        <v>331.9</v>
      </c>
    </row>
    <row r="18" spans="3:4" x14ac:dyDescent="0.25">
      <c r="C18" s="21">
        <v>336199</v>
      </c>
      <c r="D18" s="95">
        <v>228.86</v>
      </c>
    </row>
    <row r="19" spans="3:4" x14ac:dyDescent="0.25">
      <c r="C19" s="21">
        <v>336200</v>
      </c>
      <c r="D19" s="95">
        <v>103.97</v>
      </c>
    </row>
    <row r="20" spans="3:4" x14ac:dyDescent="0.25">
      <c r="C20" s="21">
        <v>336205</v>
      </c>
      <c r="D20" s="95">
        <v>704.6</v>
      </c>
    </row>
    <row r="21" spans="3:4" x14ac:dyDescent="0.25">
      <c r="C21" s="21">
        <v>336216</v>
      </c>
      <c r="D21" s="95">
        <v>49.92</v>
      </c>
    </row>
    <row r="22" spans="3:4" x14ac:dyDescent="0.25">
      <c r="C22" s="21">
        <v>336217</v>
      </c>
      <c r="D22" s="95">
        <v>427.69</v>
      </c>
    </row>
    <row r="23" spans="3:4" x14ac:dyDescent="0.25">
      <c r="C23" s="21">
        <v>336219</v>
      </c>
      <c r="D23" s="95">
        <v>464.96</v>
      </c>
    </row>
    <row r="24" spans="3:4" x14ac:dyDescent="0.25">
      <c r="C24" s="21">
        <v>336222</v>
      </c>
      <c r="D24" s="95">
        <v>801.87</v>
      </c>
    </row>
    <row r="25" spans="3:4" x14ac:dyDescent="0.25">
      <c r="C25" s="21">
        <v>336223</v>
      </c>
      <c r="D25" s="95">
        <v>32.64</v>
      </c>
    </row>
    <row r="26" spans="3:4" x14ac:dyDescent="0.25">
      <c r="C26" s="21">
        <v>336224</v>
      </c>
      <c r="D26" s="95">
        <v>157.54</v>
      </c>
    </row>
    <row r="27" spans="3:4" x14ac:dyDescent="0.25">
      <c r="C27" s="21">
        <v>336225</v>
      </c>
      <c r="D27" s="95">
        <v>157.54</v>
      </c>
    </row>
    <row r="28" spans="3:4" x14ac:dyDescent="0.25">
      <c r="C28" s="21">
        <v>336227</v>
      </c>
      <c r="D28" s="95">
        <v>63.57</v>
      </c>
    </row>
    <row r="29" spans="3:4" x14ac:dyDescent="0.25">
      <c r="C29" s="21">
        <v>336231</v>
      </c>
      <c r="D29" s="95">
        <v>852.29</v>
      </c>
    </row>
    <row r="30" spans="3:4" x14ac:dyDescent="0.25">
      <c r="C30" s="21">
        <v>336234</v>
      </c>
      <c r="D30" s="95">
        <v>182.52</v>
      </c>
    </row>
    <row r="31" spans="3:4" x14ac:dyDescent="0.25">
      <c r="C31" s="21">
        <v>336236</v>
      </c>
      <c r="D31" s="95">
        <v>311.48</v>
      </c>
    </row>
    <row r="32" spans="3:4" x14ac:dyDescent="0.25">
      <c r="C32" s="21">
        <v>336237</v>
      </c>
      <c r="D32" s="95">
        <v>45.37</v>
      </c>
    </row>
    <row r="33" spans="3:4" x14ac:dyDescent="0.25">
      <c r="C33" s="21">
        <v>336267</v>
      </c>
      <c r="D33" s="95">
        <v>12.69</v>
      </c>
    </row>
    <row r="34" spans="3:4" x14ac:dyDescent="0.25">
      <c r="C34" s="21">
        <v>336272</v>
      </c>
      <c r="D34" s="95">
        <v>157.54</v>
      </c>
    </row>
    <row r="35" spans="3:4" x14ac:dyDescent="0.25">
      <c r="C35" s="21">
        <v>337896</v>
      </c>
      <c r="D35" s="95">
        <v>103</v>
      </c>
    </row>
    <row r="36" spans="3:4" x14ac:dyDescent="0.25">
      <c r="C36" s="21">
        <v>10311030</v>
      </c>
      <c r="D36" s="95">
        <v>291.54000000000002</v>
      </c>
    </row>
    <row r="37" spans="3:4" x14ac:dyDescent="0.25">
      <c r="C37" s="21">
        <v>10356487</v>
      </c>
      <c r="D37" s="95">
        <v>49.91</v>
      </c>
    </row>
    <row r="38" spans="3:4" x14ac:dyDescent="0.25">
      <c r="C38" s="21">
        <v>10368178</v>
      </c>
      <c r="D38" s="95">
        <v>20.399999999999999</v>
      </c>
    </row>
    <row r="39" spans="3:4" x14ac:dyDescent="0.25">
      <c r="C39" s="21">
        <v>10368179</v>
      </c>
      <c r="D39" s="95">
        <v>83.09</v>
      </c>
    </row>
    <row r="40" spans="3:4" x14ac:dyDescent="0.25">
      <c r="C40" s="21">
        <v>10370233</v>
      </c>
      <c r="D40" s="95">
        <v>232.48</v>
      </c>
    </row>
    <row r="41" spans="3:4" x14ac:dyDescent="0.25">
      <c r="C41" s="21">
        <v>10378081</v>
      </c>
      <c r="D41" s="95">
        <v>207.5</v>
      </c>
    </row>
    <row r="42" spans="3:4" x14ac:dyDescent="0.25">
      <c r="C42" s="21">
        <v>10399233</v>
      </c>
      <c r="D42" s="95">
        <v>232.48</v>
      </c>
    </row>
    <row r="43" spans="3:4" x14ac:dyDescent="0.25">
      <c r="C43" s="21">
        <v>10401724</v>
      </c>
      <c r="D43" s="95">
        <v>1108.3599999999999</v>
      </c>
    </row>
    <row r="44" spans="3:4" x14ac:dyDescent="0.25">
      <c r="C44" s="21">
        <v>10407372</v>
      </c>
      <c r="D44" s="95">
        <v>933.5</v>
      </c>
    </row>
    <row r="45" spans="3:4" x14ac:dyDescent="0.25">
      <c r="C45" s="21">
        <v>10415185</v>
      </c>
      <c r="D45" s="95">
        <v>91.24</v>
      </c>
    </row>
    <row r="46" spans="3:4" x14ac:dyDescent="0.25">
      <c r="C46" s="21">
        <v>10420847</v>
      </c>
      <c r="D46" s="95">
        <v>53.51</v>
      </c>
    </row>
    <row r="47" spans="3:4" x14ac:dyDescent="0.25">
      <c r="C47" s="21">
        <v>10421170</v>
      </c>
      <c r="D47" s="95">
        <v>16.3</v>
      </c>
    </row>
    <row r="48" spans="3:4" x14ac:dyDescent="0.25">
      <c r="C48" s="21">
        <v>10421587</v>
      </c>
      <c r="D48" s="95">
        <v>178.44</v>
      </c>
    </row>
    <row r="49" spans="3:4" x14ac:dyDescent="0.25">
      <c r="C49" s="21">
        <v>10421625</v>
      </c>
      <c r="D49" s="95">
        <v>348.71</v>
      </c>
    </row>
    <row r="50" spans="3:4" x14ac:dyDescent="0.25">
      <c r="C50" s="21">
        <v>10422888</v>
      </c>
      <c r="D50" s="95">
        <v>108.02</v>
      </c>
    </row>
    <row r="51" spans="3:4" x14ac:dyDescent="0.25">
      <c r="C51" s="21">
        <v>10426179</v>
      </c>
      <c r="D51" s="95">
        <v>9.0299999999999994</v>
      </c>
    </row>
    <row r="52" spans="3:4" x14ac:dyDescent="0.25">
      <c r="C52" s="21">
        <v>10427255</v>
      </c>
      <c r="D52" s="95">
        <v>107.58</v>
      </c>
    </row>
    <row r="53" spans="3:4" x14ac:dyDescent="0.25">
      <c r="C53" s="21">
        <v>10427257</v>
      </c>
      <c r="D53" s="95">
        <v>66.27</v>
      </c>
    </row>
    <row r="54" spans="3:4" x14ac:dyDescent="0.25">
      <c r="C54" s="21">
        <v>10429657</v>
      </c>
      <c r="D54" s="95">
        <v>261.04000000000002</v>
      </c>
    </row>
    <row r="55" spans="3:4" x14ac:dyDescent="0.25">
      <c r="C55" s="21">
        <v>10430267</v>
      </c>
      <c r="D55" s="95">
        <v>232.48</v>
      </c>
    </row>
    <row r="56" spans="3:4" x14ac:dyDescent="0.25">
      <c r="C56" s="21">
        <v>10432938</v>
      </c>
      <c r="D56" s="95">
        <v>49.45</v>
      </c>
    </row>
    <row r="57" spans="3:4" x14ac:dyDescent="0.25">
      <c r="C57" s="21">
        <v>10437623</v>
      </c>
      <c r="D57" s="95">
        <v>78.52</v>
      </c>
    </row>
    <row r="58" spans="3:4" x14ac:dyDescent="0.25">
      <c r="C58" s="21">
        <v>10437751</v>
      </c>
      <c r="D58" s="95">
        <v>128.47999999999999</v>
      </c>
    </row>
    <row r="59" spans="3:4" x14ac:dyDescent="0.25">
      <c r="C59" s="21">
        <v>10439661</v>
      </c>
      <c r="D59" s="95">
        <v>335.98</v>
      </c>
    </row>
    <row r="60" spans="3:4" x14ac:dyDescent="0.25">
      <c r="C60" s="21">
        <v>10458514</v>
      </c>
      <c r="D60" s="95">
        <v>7.66</v>
      </c>
    </row>
    <row r="62" spans="3:4" x14ac:dyDescent="0.25">
      <c r="D62" s="109">
        <v>13999.47</v>
      </c>
    </row>
  </sheetData>
  <sortState xmlns:xlrd2="http://schemas.microsoft.com/office/spreadsheetml/2017/richdata2" ref="C5:D60">
    <sortCondition ref="C5:C60"/>
  </sortState>
  <mergeCells count="1">
    <mergeCell ref="C3:D3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AFC1F-B481-4150-A684-5E13847736D4}">
  <dimension ref="B3:C7"/>
  <sheetViews>
    <sheetView workbookViewId="0">
      <selection activeCell="B6" sqref="B6"/>
    </sheetView>
  </sheetViews>
  <sheetFormatPr defaultRowHeight="15" x14ac:dyDescent="0.25"/>
  <cols>
    <col min="2" max="2" width="58.5703125" bestFit="1" customWidth="1"/>
    <col min="3" max="3" width="17.7109375" bestFit="1" customWidth="1"/>
  </cols>
  <sheetData>
    <row r="3" spans="2:3" x14ac:dyDescent="0.25">
      <c r="B3" t="s">
        <v>702</v>
      </c>
    </row>
    <row r="4" spans="2:3" x14ac:dyDescent="0.25">
      <c r="B4" t="s">
        <v>703</v>
      </c>
      <c r="C4" t="s">
        <v>704</v>
      </c>
    </row>
    <row r="5" spans="2:3" x14ac:dyDescent="0.25">
      <c r="B5" s="106" t="s">
        <v>769</v>
      </c>
      <c r="C5" s="107">
        <v>30.26</v>
      </c>
    </row>
    <row r="6" spans="2:3" x14ac:dyDescent="0.25">
      <c r="B6" s="106" t="s">
        <v>770</v>
      </c>
      <c r="C6" s="107">
        <v>9.7200000000000006</v>
      </c>
    </row>
    <row r="7" spans="2:3" x14ac:dyDescent="0.25">
      <c r="B7" s="99" t="s">
        <v>715</v>
      </c>
      <c r="C7" s="108">
        <f>SUM(C5:C6)</f>
        <v>39.980000000000004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4FCC-3B1A-49BA-9511-BF2852395089}">
  <dimension ref="C3:K108"/>
  <sheetViews>
    <sheetView topLeftCell="A22" workbookViewId="0">
      <selection activeCell="I91" sqref="I91"/>
    </sheetView>
  </sheetViews>
  <sheetFormatPr defaultRowHeight="15" x14ac:dyDescent="0.25"/>
  <cols>
    <col min="3" max="3" width="10.7109375" bestFit="1" customWidth="1"/>
    <col min="7" max="7" width="9.140625" customWidth="1"/>
    <col min="8" max="8" width="34.28515625" customWidth="1"/>
    <col min="9" max="9" width="15.28515625" customWidth="1"/>
    <col min="10" max="10" width="16.85546875" customWidth="1"/>
    <col min="11" max="11" width="12.140625" bestFit="1" customWidth="1"/>
  </cols>
  <sheetData>
    <row r="3" spans="3:11" x14ac:dyDescent="0.25">
      <c r="C3" s="100">
        <v>46052</v>
      </c>
      <c r="D3" s="81">
        <v>8008</v>
      </c>
      <c r="E3" s="81">
        <v>8264</v>
      </c>
      <c r="F3" s="81">
        <v>25318</v>
      </c>
      <c r="G3" s="81">
        <v>3375889</v>
      </c>
      <c r="H3" s="81" t="s">
        <v>717</v>
      </c>
      <c r="I3" s="81">
        <v>4318628025</v>
      </c>
      <c r="J3" s="81" t="s">
        <v>718</v>
      </c>
      <c r="K3" s="56">
        <v>40.72</v>
      </c>
    </row>
    <row r="4" spans="3:11" x14ac:dyDescent="0.25">
      <c r="C4" s="101">
        <v>46052</v>
      </c>
      <c r="D4" s="102">
        <v>8019</v>
      </c>
      <c r="E4" s="102">
        <v>8264</v>
      </c>
      <c r="F4" s="102">
        <v>25318</v>
      </c>
      <c r="G4" s="102">
        <v>3376742</v>
      </c>
      <c r="H4" s="102" t="s">
        <v>719</v>
      </c>
      <c r="I4" s="102">
        <v>4319137270</v>
      </c>
      <c r="J4" s="102" t="s">
        <v>720</v>
      </c>
      <c r="K4" s="56">
        <v>43.56</v>
      </c>
    </row>
    <row r="5" spans="3:11" x14ac:dyDescent="0.25">
      <c r="C5" s="100">
        <v>46055</v>
      </c>
      <c r="D5" s="81">
        <v>4027</v>
      </c>
      <c r="E5" s="81">
        <v>8264</v>
      </c>
      <c r="F5" s="81">
        <v>25318</v>
      </c>
      <c r="G5" s="81">
        <v>3377830</v>
      </c>
      <c r="H5" s="81" t="s">
        <v>713</v>
      </c>
      <c r="I5" s="81">
        <v>4320354527</v>
      </c>
      <c r="J5" s="81" t="s">
        <v>721</v>
      </c>
      <c r="K5" s="56">
        <v>55.09</v>
      </c>
    </row>
    <row r="6" spans="3:11" x14ac:dyDescent="0.25">
      <c r="C6" s="101">
        <v>46055</v>
      </c>
      <c r="D6" s="102">
        <v>215</v>
      </c>
      <c r="E6" s="102">
        <v>12161</v>
      </c>
      <c r="F6" s="102">
        <v>25318</v>
      </c>
      <c r="G6" s="102">
        <v>3377924</v>
      </c>
      <c r="H6" s="102" t="s">
        <v>719</v>
      </c>
      <c r="I6" s="102">
        <v>4320378557</v>
      </c>
      <c r="J6" s="102" t="s">
        <v>722</v>
      </c>
      <c r="K6" s="56">
        <v>191.11</v>
      </c>
    </row>
    <row r="7" spans="3:11" x14ac:dyDescent="0.25">
      <c r="C7" s="100">
        <v>46056</v>
      </c>
      <c r="D7" s="81">
        <v>471</v>
      </c>
      <c r="E7" s="81">
        <v>8264</v>
      </c>
      <c r="F7" s="81">
        <v>25318</v>
      </c>
      <c r="G7" s="81">
        <v>3378234</v>
      </c>
      <c r="H7" s="81" t="s">
        <v>723</v>
      </c>
      <c r="I7" s="81">
        <v>4320694814</v>
      </c>
      <c r="J7" s="81" t="s">
        <v>724</v>
      </c>
      <c r="K7" s="56">
        <v>70.67</v>
      </c>
    </row>
    <row r="8" spans="3:11" x14ac:dyDescent="0.25">
      <c r="C8" s="101">
        <v>46056</v>
      </c>
      <c r="D8" s="102">
        <v>471</v>
      </c>
      <c r="E8" s="102">
        <v>8264</v>
      </c>
      <c r="F8" s="102">
        <v>25318</v>
      </c>
      <c r="G8" s="102">
        <v>3378234</v>
      </c>
      <c r="H8" s="102" t="s">
        <v>723</v>
      </c>
      <c r="I8" s="102">
        <v>4320696667</v>
      </c>
      <c r="J8" s="102" t="s">
        <v>725</v>
      </c>
      <c r="K8" s="56">
        <v>106.28</v>
      </c>
    </row>
    <row r="9" spans="3:11" x14ac:dyDescent="0.25">
      <c r="C9" s="100">
        <v>46056</v>
      </c>
      <c r="D9" s="81">
        <v>214</v>
      </c>
      <c r="E9" s="81">
        <v>12161</v>
      </c>
      <c r="F9" s="81">
        <v>25318</v>
      </c>
      <c r="G9" s="81">
        <v>3379019</v>
      </c>
      <c r="H9" s="81" t="s">
        <v>726</v>
      </c>
      <c r="I9" s="81">
        <v>4321979091</v>
      </c>
      <c r="J9" s="81" t="s">
        <v>727</v>
      </c>
      <c r="K9" s="56">
        <v>219.92000000000002</v>
      </c>
    </row>
    <row r="10" spans="3:11" x14ac:dyDescent="0.25">
      <c r="C10" s="101">
        <v>46056</v>
      </c>
      <c r="D10" s="102">
        <v>214</v>
      </c>
      <c r="E10" s="102">
        <v>12161</v>
      </c>
      <c r="F10" s="102">
        <v>25318</v>
      </c>
      <c r="G10" s="102">
        <v>3379036</v>
      </c>
      <c r="H10" s="102" t="s">
        <v>726</v>
      </c>
      <c r="I10" s="102">
        <v>4322170285</v>
      </c>
      <c r="J10" s="102" t="s">
        <v>728</v>
      </c>
      <c r="K10" s="56">
        <v>381.26</v>
      </c>
    </row>
    <row r="11" spans="3:11" x14ac:dyDescent="0.25">
      <c r="C11" s="100">
        <v>46059</v>
      </c>
      <c r="D11" s="81">
        <v>8008</v>
      </c>
      <c r="E11" s="81">
        <v>8264</v>
      </c>
      <c r="F11" s="81">
        <v>25318</v>
      </c>
      <c r="G11" s="81">
        <v>3381127</v>
      </c>
      <c r="H11" s="81" t="s">
        <v>717</v>
      </c>
      <c r="I11" s="81">
        <v>4324830488</v>
      </c>
      <c r="J11" s="81" t="s">
        <v>729</v>
      </c>
      <c r="K11" s="56">
        <v>93.259999999999991</v>
      </c>
    </row>
    <row r="12" spans="3:11" x14ac:dyDescent="0.25">
      <c r="C12" s="100">
        <v>46062</v>
      </c>
      <c r="D12" s="81">
        <v>92</v>
      </c>
      <c r="E12" s="81">
        <v>13316</v>
      </c>
      <c r="F12" s="81">
        <v>25386</v>
      </c>
      <c r="G12" s="81">
        <v>3382731</v>
      </c>
      <c r="H12" s="81" t="s">
        <v>730</v>
      </c>
      <c r="I12" s="81">
        <v>4326258035</v>
      </c>
      <c r="J12" s="103" t="s">
        <v>731</v>
      </c>
      <c r="K12" s="56">
        <v>77.2</v>
      </c>
    </row>
    <row r="13" spans="3:11" x14ac:dyDescent="0.25">
      <c r="C13" s="101">
        <v>46062</v>
      </c>
      <c r="D13" s="102">
        <v>4081</v>
      </c>
      <c r="E13" s="102">
        <v>8264</v>
      </c>
      <c r="F13" s="102">
        <v>25318</v>
      </c>
      <c r="G13" s="102">
        <v>3382706</v>
      </c>
      <c r="H13" s="102" t="s">
        <v>710</v>
      </c>
      <c r="I13" s="102">
        <v>4326266273</v>
      </c>
      <c r="J13" s="102" t="s">
        <v>732</v>
      </c>
      <c r="K13" s="56">
        <v>56.709999999999994</v>
      </c>
    </row>
    <row r="14" spans="3:11" x14ac:dyDescent="0.25">
      <c r="C14" s="100">
        <v>46062</v>
      </c>
      <c r="D14" s="81">
        <v>94</v>
      </c>
      <c r="E14" s="81">
        <v>8088</v>
      </c>
      <c r="F14" s="81">
        <v>25386</v>
      </c>
      <c r="G14" s="81">
        <v>3382936</v>
      </c>
      <c r="H14" s="81" t="s">
        <v>711</v>
      </c>
      <c r="I14" s="81">
        <v>4326497584</v>
      </c>
      <c r="J14" s="103" t="s">
        <v>733</v>
      </c>
      <c r="K14" s="56">
        <v>118.16</v>
      </c>
    </row>
    <row r="15" spans="3:11" x14ac:dyDescent="0.25">
      <c r="C15" s="100">
        <v>46063</v>
      </c>
      <c r="D15" s="81">
        <v>212</v>
      </c>
      <c r="E15" s="81">
        <v>12161</v>
      </c>
      <c r="F15" s="81">
        <v>25318</v>
      </c>
      <c r="G15" s="81">
        <v>3383698</v>
      </c>
      <c r="H15" s="81" t="s">
        <v>709</v>
      </c>
      <c r="I15" s="81">
        <v>4327110538</v>
      </c>
      <c r="J15" s="81" t="s">
        <v>734</v>
      </c>
      <c r="K15" s="56">
        <v>71.94</v>
      </c>
    </row>
    <row r="16" spans="3:11" x14ac:dyDescent="0.25">
      <c r="C16" s="101">
        <v>46063</v>
      </c>
      <c r="D16" s="102">
        <v>92</v>
      </c>
      <c r="E16" s="102">
        <v>13316</v>
      </c>
      <c r="F16" s="102">
        <v>25386</v>
      </c>
      <c r="G16" s="102">
        <v>3383817</v>
      </c>
      <c r="H16" s="102" t="s">
        <v>730</v>
      </c>
      <c r="I16" s="102">
        <v>4327149104</v>
      </c>
      <c r="J16" s="104" t="s">
        <v>735</v>
      </c>
      <c r="K16" s="56">
        <v>74.319999999999993</v>
      </c>
    </row>
    <row r="17" spans="3:11" x14ac:dyDescent="0.25">
      <c r="C17" s="100">
        <v>46063</v>
      </c>
      <c r="D17" s="81">
        <v>856</v>
      </c>
      <c r="E17" s="81">
        <v>8264</v>
      </c>
      <c r="F17" s="81">
        <v>25318</v>
      </c>
      <c r="G17" s="81">
        <v>3383993</v>
      </c>
      <c r="H17" s="81" t="s">
        <v>717</v>
      </c>
      <c r="I17" s="81">
        <v>4327493729</v>
      </c>
      <c r="J17" s="81" t="s">
        <v>736</v>
      </c>
      <c r="K17" s="56">
        <v>40.72</v>
      </c>
    </row>
    <row r="18" spans="3:11" x14ac:dyDescent="0.25">
      <c r="C18" s="100">
        <v>46063</v>
      </c>
      <c r="D18" s="81">
        <v>94</v>
      </c>
      <c r="E18" s="81">
        <v>8088</v>
      </c>
      <c r="F18" s="81">
        <v>25386</v>
      </c>
      <c r="G18" s="81">
        <v>3384259</v>
      </c>
      <c r="H18" s="81" t="s">
        <v>711</v>
      </c>
      <c r="I18" s="81">
        <v>4327544032</v>
      </c>
      <c r="J18" s="103" t="s">
        <v>737</v>
      </c>
      <c r="K18" s="56">
        <v>223.17</v>
      </c>
    </row>
    <row r="19" spans="3:11" x14ac:dyDescent="0.25">
      <c r="C19" s="101">
        <v>46063</v>
      </c>
      <c r="D19" s="102">
        <v>8002</v>
      </c>
      <c r="E19" s="102">
        <v>8264</v>
      </c>
      <c r="F19" s="102">
        <v>25318</v>
      </c>
      <c r="G19" s="102">
        <v>3384402</v>
      </c>
      <c r="H19" s="102" t="s">
        <v>738</v>
      </c>
      <c r="I19" s="102">
        <v>4327643077</v>
      </c>
      <c r="J19" s="102" t="s">
        <v>739</v>
      </c>
      <c r="K19" s="56">
        <v>201.96</v>
      </c>
    </row>
    <row r="20" spans="3:11" x14ac:dyDescent="0.25">
      <c r="C20" s="100">
        <v>46063</v>
      </c>
      <c r="D20" s="81">
        <v>8002</v>
      </c>
      <c r="E20" s="81">
        <v>8264</v>
      </c>
      <c r="F20" s="81">
        <v>25318</v>
      </c>
      <c r="G20" s="81">
        <v>3384402</v>
      </c>
      <c r="H20" s="81" t="s">
        <v>738</v>
      </c>
      <c r="I20" s="81">
        <v>4327643077</v>
      </c>
      <c r="J20" s="81" t="s">
        <v>740</v>
      </c>
      <c r="K20" s="56">
        <v>216.69</v>
      </c>
    </row>
    <row r="21" spans="3:11" x14ac:dyDescent="0.25">
      <c r="C21" s="101">
        <v>46064</v>
      </c>
      <c r="D21" s="102">
        <v>206</v>
      </c>
      <c r="E21" s="102">
        <v>12161</v>
      </c>
      <c r="F21" s="102">
        <v>25318</v>
      </c>
      <c r="G21" s="102">
        <v>3385452</v>
      </c>
      <c r="H21" s="102" t="s">
        <v>741</v>
      </c>
      <c r="I21" s="102">
        <v>4329687359</v>
      </c>
      <c r="J21" s="102" t="s">
        <v>742</v>
      </c>
      <c r="K21" s="56">
        <v>108.76</v>
      </c>
    </row>
    <row r="22" spans="3:11" x14ac:dyDescent="0.25">
      <c r="C22" s="100">
        <v>46065</v>
      </c>
      <c r="D22" s="81">
        <v>92</v>
      </c>
      <c r="E22" s="81">
        <v>13316</v>
      </c>
      <c r="F22" s="81">
        <v>25386</v>
      </c>
      <c r="G22" s="81">
        <v>3386452</v>
      </c>
      <c r="H22" s="81" t="s">
        <v>730</v>
      </c>
      <c r="I22" s="81">
        <v>4330531127</v>
      </c>
      <c r="J22" s="103" t="s">
        <v>743</v>
      </c>
      <c r="K22" s="56">
        <v>107.25</v>
      </c>
    </row>
    <row r="23" spans="3:11" x14ac:dyDescent="0.25">
      <c r="C23" s="101">
        <v>46065</v>
      </c>
      <c r="D23" s="102">
        <v>4004</v>
      </c>
      <c r="E23" s="102">
        <v>8264</v>
      </c>
      <c r="F23" s="102">
        <v>25318</v>
      </c>
      <c r="G23" s="102">
        <v>3386257</v>
      </c>
      <c r="H23" s="102" t="s">
        <v>712</v>
      </c>
      <c r="I23" s="102">
        <v>4330534122</v>
      </c>
      <c r="J23" s="102" t="s">
        <v>744</v>
      </c>
      <c r="K23" s="56">
        <v>63.69</v>
      </c>
    </row>
    <row r="24" spans="3:11" x14ac:dyDescent="0.25">
      <c r="C24" s="100">
        <v>46071</v>
      </c>
      <c r="D24" s="81">
        <v>73</v>
      </c>
      <c r="E24" s="81">
        <v>7638</v>
      </c>
      <c r="F24" s="81">
        <v>25386</v>
      </c>
      <c r="G24" s="81">
        <v>3387050</v>
      </c>
      <c r="H24" s="81" t="s">
        <v>745</v>
      </c>
      <c r="I24" s="81">
        <v>4332836267</v>
      </c>
      <c r="J24" s="81" t="s">
        <v>746</v>
      </c>
      <c r="K24" s="56">
        <v>78.39</v>
      </c>
    </row>
    <row r="25" spans="3:11" x14ac:dyDescent="0.25">
      <c r="C25" s="101">
        <v>46071</v>
      </c>
      <c r="D25" s="102">
        <v>92</v>
      </c>
      <c r="E25" s="102">
        <v>13316</v>
      </c>
      <c r="F25" s="102">
        <v>25386</v>
      </c>
      <c r="G25" s="102">
        <v>3389344</v>
      </c>
      <c r="H25" s="102" t="s">
        <v>730</v>
      </c>
      <c r="I25" s="102">
        <v>4334142795</v>
      </c>
      <c r="J25" s="104" t="s">
        <v>747</v>
      </c>
      <c r="K25" s="56">
        <v>97.42</v>
      </c>
    </row>
    <row r="26" spans="3:11" x14ac:dyDescent="0.25">
      <c r="C26" s="100">
        <v>46071</v>
      </c>
      <c r="D26" s="81">
        <v>542</v>
      </c>
      <c r="E26" s="81">
        <v>8264</v>
      </c>
      <c r="F26" s="81">
        <v>25318</v>
      </c>
      <c r="G26" s="81">
        <v>3389516</v>
      </c>
      <c r="H26" s="81" t="s">
        <v>748</v>
      </c>
      <c r="I26" s="81">
        <v>4334456470</v>
      </c>
      <c r="J26" s="81" t="s">
        <v>749</v>
      </c>
      <c r="K26" s="56">
        <v>32.78</v>
      </c>
    </row>
    <row r="27" spans="3:11" x14ac:dyDescent="0.25">
      <c r="C27" s="101">
        <v>46072</v>
      </c>
      <c r="D27" s="102">
        <v>100</v>
      </c>
      <c r="E27" s="102">
        <v>7980</v>
      </c>
      <c r="F27" s="102">
        <v>25318</v>
      </c>
      <c r="G27" s="102">
        <v>3390047</v>
      </c>
      <c r="H27" s="102" t="s">
        <v>750</v>
      </c>
      <c r="I27" s="102">
        <v>4335021276</v>
      </c>
      <c r="J27" s="104" t="s">
        <v>751</v>
      </c>
      <c r="K27" s="56">
        <v>333.38</v>
      </c>
    </row>
    <row r="28" spans="3:11" x14ac:dyDescent="0.25">
      <c r="C28" s="100">
        <v>46073</v>
      </c>
      <c r="D28" s="81">
        <v>8010</v>
      </c>
      <c r="E28" s="81">
        <v>8264</v>
      </c>
      <c r="F28" s="81">
        <v>25318</v>
      </c>
      <c r="G28" s="81">
        <v>3391328</v>
      </c>
      <c r="H28" s="81" t="s">
        <v>714</v>
      </c>
      <c r="I28" s="81">
        <v>4336491486</v>
      </c>
      <c r="J28" s="81" t="s">
        <v>752</v>
      </c>
      <c r="K28" s="56">
        <v>55.03</v>
      </c>
    </row>
    <row r="29" spans="3:11" x14ac:dyDescent="0.25">
      <c r="C29" s="101">
        <v>46077</v>
      </c>
      <c r="D29" s="102">
        <v>214</v>
      </c>
      <c r="E29" s="102">
        <v>12161</v>
      </c>
      <c r="F29" s="102">
        <v>25318</v>
      </c>
      <c r="G29" s="102">
        <v>3393101</v>
      </c>
      <c r="H29" s="102" t="s">
        <v>726</v>
      </c>
      <c r="I29" s="102">
        <v>4339593782</v>
      </c>
      <c r="J29" s="102" t="s">
        <v>753</v>
      </c>
      <c r="K29" s="56">
        <v>301.98</v>
      </c>
    </row>
    <row r="30" spans="3:11" x14ac:dyDescent="0.25">
      <c r="C30" s="100">
        <v>46077</v>
      </c>
      <c r="D30" s="81">
        <v>214</v>
      </c>
      <c r="E30" s="81">
        <v>12161</v>
      </c>
      <c r="F30" s="81">
        <v>25318</v>
      </c>
      <c r="G30" s="81">
        <v>3393138</v>
      </c>
      <c r="H30" s="81" t="s">
        <v>726</v>
      </c>
      <c r="I30" s="81">
        <v>4339642125</v>
      </c>
      <c r="J30" s="81" t="s">
        <v>754</v>
      </c>
      <c r="K30" s="56">
        <v>301.98</v>
      </c>
    </row>
    <row r="31" spans="3:11" x14ac:dyDescent="0.25">
      <c r="C31" s="101">
        <v>46077</v>
      </c>
      <c r="D31" s="102">
        <v>214</v>
      </c>
      <c r="E31" s="102">
        <v>12161</v>
      </c>
      <c r="F31" s="102">
        <v>25318</v>
      </c>
      <c r="G31" s="102">
        <v>3393150</v>
      </c>
      <c r="H31" s="102" t="s">
        <v>726</v>
      </c>
      <c r="I31" s="102">
        <v>4339667393</v>
      </c>
      <c r="J31" s="102" t="s">
        <v>755</v>
      </c>
      <c r="K31" s="56">
        <v>172.38000000000002</v>
      </c>
    </row>
    <row r="32" spans="3:11" x14ac:dyDescent="0.25">
      <c r="C32" s="100">
        <v>46077</v>
      </c>
      <c r="D32" s="81">
        <v>214</v>
      </c>
      <c r="E32" s="81">
        <v>12161</v>
      </c>
      <c r="F32" s="81">
        <v>25318</v>
      </c>
      <c r="G32" s="81">
        <v>3393175</v>
      </c>
      <c r="H32" s="81" t="s">
        <v>726</v>
      </c>
      <c r="I32" s="81">
        <v>4339696359</v>
      </c>
      <c r="J32" s="81" t="s">
        <v>756</v>
      </c>
      <c r="K32" s="56">
        <v>300.82</v>
      </c>
    </row>
    <row r="33" spans="3:11" x14ac:dyDescent="0.25">
      <c r="C33" s="101">
        <v>46077</v>
      </c>
      <c r="D33" s="102">
        <v>838</v>
      </c>
      <c r="E33" s="102">
        <v>8264</v>
      </c>
      <c r="F33" s="102">
        <v>25318</v>
      </c>
      <c r="G33" s="102">
        <v>3393460</v>
      </c>
      <c r="H33" s="102" t="s">
        <v>748</v>
      </c>
      <c r="I33" s="102">
        <v>4339974822</v>
      </c>
      <c r="J33" s="102" t="s">
        <v>757</v>
      </c>
      <c r="K33" s="56">
        <v>34.53</v>
      </c>
    </row>
    <row r="34" spans="3:11" x14ac:dyDescent="0.25">
      <c r="C34" s="100">
        <v>46077</v>
      </c>
      <c r="D34" s="81">
        <v>214</v>
      </c>
      <c r="E34" s="81">
        <v>12161</v>
      </c>
      <c r="F34" s="81">
        <v>25318</v>
      </c>
      <c r="G34" s="81">
        <v>3393416</v>
      </c>
      <c r="H34" s="81" t="s">
        <v>726</v>
      </c>
      <c r="I34" s="81">
        <v>4339980164</v>
      </c>
      <c r="J34" s="81" t="s">
        <v>758</v>
      </c>
      <c r="K34" s="56">
        <v>273.78000000000003</v>
      </c>
    </row>
    <row r="35" spans="3:11" x14ac:dyDescent="0.25">
      <c r="C35" s="101">
        <v>46077</v>
      </c>
      <c r="D35" s="102">
        <v>214</v>
      </c>
      <c r="E35" s="102">
        <v>12161</v>
      </c>
      <c r="F35" s="102">
        <v>25318</v>
      </c>
      <c r="G35" s="102">
        <v>3393699</v>
      </c>
      <c r="H35" s="102" t="s">
        <v>726</v>
      </c>
      <c r="I35" s="102">
        <v>4340144917</v>
      </c>
      <c r="J35" s="102" t="s">
        <v>759</v>
      </c>
      <c r="K35" s="56">
        <v>217.8</v>
      </c>
    </row>
    <row r="36" spans="3:11" x14ac:dyDescent="0.25">
      <c r="C36" s="100">
        <v>46077</v>
      </c>
      <c r="D36" s="81">
        <v>214</v>
      </c>
      <c r="E36" s="81">
        <v>12161</v>
      </c>
      <c r="F36" s="81">
        <v>25318</v>
      </c>
      <c r="G36" s="81">
        <v>3393753</v>
      </c>
      <c r="H36" s="81" t="s">
        <v>726</v>
      </c>
      <c r="I36" s="81">
        <v>4340154145</v>
      </c>
      <c r="J36" s="81" t="s">
        <v>760</v>
      </c>
      <c r="K36" s="56">
        <v>382.25</v>
      </c>
    </row>
    <row r="37" spans="3:11" x14ac:dyDescent="0.25">
      <c r="C37" s="101">
        <v>46077</v>
      </c>
      <c r="D37" s="102">
        <v>214</v>
      </c>
      <c r="E37" s="102">
        <v>12161</v>
      </c>
      <c r="F37" s="102">
        <v>25318</v>
      </c>
      <c r="G37" s="102">
        <v>3393532</v>
      </c>
      <c r="H37" s="102" t="s">
        <v>726</v>
      </c>
      <c r="I37" s="102">
        <v>4340171172</v>
      </c>
      <c r="J37" s="102" t="s">
        <v>761</v>
      </c>
      <c r="K37" s="56">
        <v>429.52000000000004</v>
      </c>
    </row>
    <row r="38" spans="3:11" x14ac:dyDescent="0.25">
      <c r="C38" s="100">
        <v>46077</v>
      </c>
      <c r="D38" s="81">
        <v>214</v>
      </c>
      <c r="E38" s="81">
        <v>12161</v>
      </c>
      <c r="F38" s="81">
        <v>25318</v>
      </c>
      <c r="G38" s="81">
        <v>3393779</v>
      </c>
      <c r="H38" s="81" t="s">
        <v>726</v>
      </c>
      <c r="I38" s="81">
        <v>4340196846</v>
      </c>
      <c r="J38" s="81" t="s">
        <v>762</v>
      </c>
      <c r="K38" s="56">
        <v>379.39</v>
      </c>
    </row>
    <row r="39" spans="3:11" x14ac:dyDescent="0.25">
      <c r="C39" s="101">
        <v>46077</v>
      </c>
      <c r="D39" s="102">
        <v>214</v>
      </c>
      <c r="E39" s="102">
        <v>12161</v>
      </c>
      <c r="F39" s="102">
        <v>25318</v>
      </c>
      <c r="G39" s="102">
        <v>3393821</v>
      </c>
      <c r="H39" s="102" t="s">
        <v>726</v>
      </c>
      <c r="I39" s="102">
        <v>4340200148</v>
      </c>
      <c r="J39" s="102" t="s">
        <v>763</v>
      </c>
      <c r="K39" s="56">
        <v>382.25</v>
      </c>
    </row>
    <row r="40" spans="3:11" x14ac:dyDescent="0.25">
      <c r="C40" s="100">
        <v>46077</v>
      </c>
      <c r="D40" s="81">
        <v>214</v>
      </c>
      <c r="E40" s="81">
        <v>12161</v>
      </c>
      <c r="F40" s="81">
        <v>25318</v>
      </c>
      <c r="G40" s="81">
        <v>3393828</v>
      </c>
      <c r="H40" s="81" t="s">
        <v>726</v>
      </c>
      <c r="I40" s="81">
        <v>4340205899</v>
      </c>
      <c r="J40" s="81" t="s">
        <v>764</v>
      </c>
      <c r="K40" s="56">
        <v>382.25</v>
      </c>
    </row>
    <row r="41" spans="3:11" x14ac:dyDescent="0.25">
      <c r="C41" s="101">
        <v>46078</v>
      </c>
      <c r="D41" s="102">
        <v>215</v>
      </c>
      <c r="E41" s="102">
        <v>12161</v>
      </c>
      <c r="F41" s="102">
        <v>25318</v>
      </c>
      <c r="G41" s="102">
        <v>3394149</v>
      </c>
      <c r="H41" s="102" t="s">
        <v>719</v>
      </c>
      <c r="I41" s="102">
        <v>4341078058</v>
      </c>
      <c r="J41" s="102" t="s">
        <v>765</v>
      </c>
      <c r="K41" s="56">
        <v>236.29000000000002</v>
      </c>
    </row>
    <row r="42" spans="3:11" x14ac:dyDescent="0.25">
      <c r="C42" s="101">
        <v>46078</v>
      </c>
      <c r="D42" s="102">
        <v>4080</v>
      </c>
      <c r="E42" s="102">
        <v>8264</v>
      </c>
      <c r="F42" s="102">
        <v>25318</v>
      </c>
      <c r="G42" s="102">
        <v>3394945</v>
      </c>
      <c r="H42" s="102" t="s">
        <v>748</v>
      </c>
      <c r="I42" s="102">
        <v>4341205350</v>
      </c>
      <c r="J42" s="102" t="s">
        <v>766</v>
      </c>
      <c r="K42" s="56">
        <v>36.21</v>
      </c>
    </row>
    <row r="43" spans="3:11" x14ac:dyDescent="0.25">
      <c r="C43" s="101">
        <v>46079</v>
      </c>
      <c r="D43" s="102">
        <v>4007</v>
      </c>
      <c r="E43" s="102">
        <v>8264</v>
      </c>
      <c r="F43" s="102">
        <v>25318</v>
      </c>
      <c r="G43" s="102">
        <v>3395846</v>
      </c>
      <c r="H43" s="102" t="s">
        <v>767</v>
      </c>
      <c r="I43" s="102">
        <v>4341891715</v>
      </c>
      <c r="J43" s="102" t="s">
        <v>768</v>
      </c>
      <c r="K43" s="56">
        <v>86.34</v>
      </c>
    </row>
    <row r="44" spans="3:11" x14ac:dyDescent="0.25">
      <c r="C44" s="81"/>
      <c r="D44" s="81"/>
      <c r="E44" s="81"/>
      <c r="F44" s="81"/>
      <c r="G44" s="81"/>
      <c r="H44" s="81"/>
      <c r="I44" s="81"/>
      <c r="J44" s="81"/>
      <c r="K44" s="56">
        <f>SUM(K3:K43)</f>
        <v>7077.2100000000019</v>
      </c>
    </row>
    <row r="47" spans="3:11" x14ac:dyDescent="0.25">
      <c r="C47" s="113" t="s">
        <v>707</v>
      </c>
      <c r="D47" t="s">
        <v>708</v>
      </c>
      <c r="E47" t="s">
        <v>774</v>
      </c>
      <c r="F47" t="s">
        <v>775</v>
      </c>
      <c r="G47" t="s">
        <v>776</v>
      </c>
      <c r="H47" t="s">
        <v>777</v>
      </c>
      <c r="I47" t="s">
        <v>778</v>
      </c>
      <c r="J47" t="s">
        <v>779</v>
      </c>
    </row>
    <row r="48" spans="3:11" x14ac:dyDescent="0.25">
      <c r="C48" s="113">
        <v>46042</v>
      </c>
      <c r="D48">
        <v>94</v>
      </c>
      <c r="E48">
        <v>8088</v>
      </c>
      <c r="F48">
        <v>25386</v>
      </c>
      <c r="G48">
        <v>3368852</v>
      </c>
      <c r="H48" t="s">
        <v>711</v>
      </c>
      <c r="I48">
        <v>4298603995</v>
      </c>
      <c r="J48" s="114" t="s">
        <v>780</v>
      </c>
    </row>
    <row r="49" spans="3:10" x14ac:dyDescent="0.25">
      <c r="C49" s="113">
        <v>46042</v>
      </c>
      <c r="D49">
        <v>94</v>
      </c>
      <c r="E49">
        <v>8088</v>
      </c>
      <c r="F49">
        <v>25386</v>
      </c>
      <c r="G49">
        <v>3369127</v>
      </c>
      <c r="H49" t="s">
        <v>711</v>
      </c>
      <c r="I49">
        <v>4299129987</v>
      </c>
      <c r="J49" s="114" t="s">
        <v>781</v>
      </c>
    </row>
    <row r="50" spans="3:10" x14ac:dyDescent="0.25">
      <c r="C50" s="113">
        <v>46044</v>
      </c>
      <c r="D50">
        <v>248</v>
      </c>
      <c r="E50">
        <v>12161</v>
      </c>
      <c r="F50">
        <v>25318</v>
      </c>
      <c r="G50">
        <v>3370593</v>
      </c>
      <c r="H50" t="s">
        <v>782</v>
      </c>
      <c r="I50">
        <v>4300757267</v>
      </c>
      <c r="J50" t="s">
        <v>783</v>
      </c>
    </row>
    <row r="51" spans="3:10" x14ac:dyDescent="0.25">
      <c r="C51" s="113">
        <v>46044</v>
      </c>
      <c r="D51">
        <v>4028</v>
      </c>
      <c r="E51">
        <v>8264</v>
      </c>
      <c r="F51">
        <v>25318</v>
      </c>
      <c r="G51">
        <v>3370650</v>
      </c>
      <c r="H51" t="s">
        <v>767</v>
      </c>
      <c r="I51">
        <v>4300762912</v>
      </c>
      <c r="J51" t="s">
        <v>784</v>
      </c>
    </row>
    <row r="52" spans="3:10" x14ac:dyDescent="0.25">
      <c r="C52" s="113">
        <v>46044</v>
      </c>
      <c r="D52">
        <v>8008</v>
      </c>
      <c r="E52">
        <v>8264</v>
      </c>
      <c r="F52">
        <v>25318</v>
      </c>
      <c r="G52">
        <v>3370802</v>
      </c>
      <c r="H52" t="s">
        <v>717</v>
      </c>
      <c r="I52">
        <v>4300834401</v>
      </c>
      <c r="J52" t="s">
        <v>785</v>
      </c>
    </row>
    <row r="53" spans="3:10" x14ac:dyDescent="0.25">
      <c r="C53" s="113">
        <v>46044</v>
      </c>
      <c r="D53">
        <v>94</v>
      </c>
      <c r="E53">
        <v>8088</v>
      </c>
      <c r="F53">
        <v>25386</v>
      </c>
      <c r="G53">
        <v>3371145</v>
      </c>
      <c r="H53" t="s">
        <v>711</v>
      </c>
      <c r="I53">
        <v>4301076138</v>
      </c>
      <c r="J53" t="s">
        <v>786</v>
      </c>
    </row>
    <row r="54" spans="3:10" x14ac:dyDescent="0.25">
      <c r="C54" s="113">
        <v>46044</v>
      </c>
      <c r="D54">
        <v>840</v>
      </c>
      <c r="E54">
        <v>8264</v>
      </c>
      <c r="F54">
        <v>25318</v>
      </c>
      <c r="G54">
        <v>3371235</v>
      </c>
      <c r="H54" t="s">
        <v>712</v>
      </c>
      <c r="I54">
        <v>4301123354</v>
      </c>
      <c r="J54" t="s">
        <v>787</v>
      </c>
    </row>
    <row r="55" spans="3:10" x14ac:dyDescent="0.25">
      <c r="C55" s="113">
        <v>46045</v>
      </c>
      <c r="D55">
        <v>215</v>
      </c>
      <c r="E55">
        <v>12161</v>
      </c>
      <c r="F55">
        <v>25318</v>
      </c>
      <c r="G55">
        <v>3371806</v>
      </c>
      <c r="H55" t="s">
        <v>719</v>
      </c>
      <c r="I55">
        <v>4301782144</v>
      </c>
      <c r="J55" t="s">
        <v>788</v>
      </c>
    </row>
    <row r="56" spans="3:10" x14ac:dyDescent="0.25">
      <c r="C56" s="113">
        <v>46049</v>
      </c>
      <c r="D56">
        <v>474</v>
      </c>
      <c r="E56">
        <v>8264</v>
      </c>
      <c r="F56">
        <v>25318</v>
      </c>
      <c r="G56">
        <v>3373844</v>
      </c>
      <c r="H56" t="s">
        <v>789</v>
      </c>
      <c r="I56">
        <v>4314544221</v>
      </c>
      <c r="J56" t="s">
        <v>790</v>
      </c>
    </row>
    <row r="57" spans="3:10" x14ac:dyDescent="0.25">
      <c r="C57" s="113">
        <v>46052</v>
      </c>
      <c r="D57">
        <v>8008</v>
      </c>
      <c r="E57">
        <v>8264</v>
      </c>
      <c r="F57">
        <v>25318</v>
      </c>
      <c r="G57">
        <v>3375889</v>
      </c>
      <c r="H57" t="s">
        <v>717</v>
      </c>
      <c r="I57">
        <v>4318628025</v>
      </c>
      <c r="J57" t="s">
        <v>718</v>
      </c>
    </row>
    <row r="58" spans="3:10" x14ac:dyDescent="0.25">
      <c r="C58" s="113">
        <v>46052</v>
      </c>
      <c r="D58">
        <v>8019</v>
      </c>
      <c r="E58">
        <v>8264</v>
      </c>
      <c r="F58">
        <v>25318</v>
      </c>
      <c r="G58">
        <v>3376742</v>
      </c>
      <c r="H58" t="s">
        <v>719</v>
      </c>
      <c r="I58">
        <v>4319137270</v>
      </c>
      <c r="J58" t="s">
        <v>720</v>
      </c>
    </row>
    <row r="59" spans="3:10" x14ac:dyDescent="0.25">
      <c r="C59" s="113">
        <v>46055</v>
      </c>
      <c r="D59">
        <v>4027</v>
      </c>
      <c r="E59">
        <v>8264</v>
      </c>
      <c r="F59">
        <v>25318</v>
      </c>
      <c r="G59">
        <v>3377830</v>
      </c>
      <c r="H59" t="s">
        <v>713</v>
      </c>
      <c r="I59">
        <v>4320354527</v>
      </c>
      <c r="J59" t="s">
        <v>721</v>
      </c>
    </row>
    <row r="60" spans="3:10" x14ac:dyDescent="0.25">
      <c r="C60" s="113">
        <v>46055</v>
      </c>
      <c r="D60">
        <v>215</v>
      </c>
      <c r="E60">
        <v>12161</v>
      </c>
      <c r="F60">
        <v>25318</v>
      </c>
      <c r="G60">
        <v>3377924</v>
      </c>
      <c r="H60" t="s">
        <v>719</v>
      </c>
      <c r="I60">
        <v>4320378557</v>
      </c>
      <c r="J60" t="s">
        <v>722</v>
      </c>
    </row>
    <row r="61" spans="3:10" x14ac:dyDescent="0.25">
      <c r="C61" s="113">
        <v>46056</v>
      </c>
      <c r="D61">
        <v>471</v>
      </c>
      <c r="E61">
        <v>8264</v>
      </c>
      <c r="F61">
        <v>25318</v>
      </c>
      <c r="G61">
        <v>3378234</v>
      </c>
      <c r="H61" t="s">
        <v>723</v>
      </c>
      <c r="I61">
        <v>4320694814</v>
      </c>
      <c r="J61" t="s">
        <v>724</v>
      </c>
    </row>
    <row r="62" spans="3:10" x14ac:dyDescent="0.25">
      <c r="C62" s="113">
        <v>46056</v>
      </c>
      <c r="D62">
        <v>471</v>
      </c>
      <c r="E62">
        <v>8264</v>
      </c>
      <c r="F62">
        <v>25318</v>
      </c>
      <c r="G62">
        <v>3378234</v>
      </c>
      <c r="H62" t="s">
        <v>723</v>
      </c>
      <c r="I62">
        <v>4320696667</v>
      </c>
      <c r="J62" t="s">
        <v>725</v>
      </c>
    </row>
    <row r="63" spans="3:10" x14ac:dyDescent="0.25">
      <c r="C63" s="113">
        <v>46056</v>
      </c>
      <c r="D63">
        <v>471</v>
      </c>
      <c r="E63">
        <v>8264</v>
      </c>
      <c r="F63">
        <v>25318</v>
      </c>
      <c r="G63">
        <v>3378234</v>
      </c>
      <c r="H63" t="s">
        <v>723</v>
      </c>
      <c r="I63">
        <v>4320698044</v>
      </c>
      <c r="J63" t="s">
        <v>791</v>
      </c>
    </row>
    <row r="64" spans="3:10" x14ac:dyDescent="0.25">
      <c r="C64" s="113">
        <v>46056</v>
      </c>
      <c r="D64">
        <v>4007</v>
      </c>
      <c r="E64">
        <v>8264</v>
      </c>
      <c r="F64">
        <v>25318</v>
      </c>
      <c r="G64">
        <v>3378354</v>
      </c>
      <c r="H64" t="s">
        <v>767</v>
      </c>
      <c r="I64">
        <v>4320881603</v>
      </c>
      <c r="J64" t="s">
        <v>792</v>
      </c>
    </row>
    <row r="65" spans="3:10" x14ac:dyDescent="0.25">
      <c r="C65" s="113">
        <v>46056</v>
      </c>
      <c r="D65">
        <v>214</v>
      </c>
      <c r="E65">
        <v>12161</v>
      </c>
      <c r="F65">
        <v>25318</v>
      </c>
      <c r="G65">
        <v>3379019</v>
      </c>
      <c r="H65" t="s">
        <v>726</v>
      </c>
      <c r="I65">
        <v>4321979091</v>
      </c>
      <c r="J65" t="s">
        <v>727</v>
      </c>
    </row>
    <row r="66" spans="3:10" x14ac:dyDescent="0.25">
      <c r="C66" s="113">
        <v>46056</v>
      </c>
      <c r="D66">
        <v>214</v>
      </c>
      <c r="E66">
        <v>12161</v>
      </c>
      <c r="F66">
        <v>25318</v>
      </c>
      <c r="G66">
        <v>3379036</v>
      </c>
      <c r="H66" t="s">
        <v>726</v>
      </c>
      <c r="I66">
        <v>4322170285</v>
      </c>
      <c r="J66" t="s">
        <v>728</v>
      </c>
    </row>
    <row r="67" spans="3:10" x14ac:dyDescent="0.25">
      <c r="C67" s="113">
        <v>46059</v>
      </c>
      <c r="D67">
        <v>8008</v>
      </c>
      <c r="E67">
        <v>8264</v>
      </c>
      <c r="F67">
        <v>25318</v>
      </c>
      <c r="G67">
        <v>3381127</v>
      </c>
      <c r="H67" t="s">
        <v>717</v>
      </c>
      <c r="I67">
        <v>4324830488</v>
      </c>
      <c r="J67" t="s">
        <v>729</v>
      </c>
    </row>
    <row r="68" spans="3:10" x14ac:dyDescent="0.25">
      <c r="C68" s="113">
        <v>46062</v>
      </c>
      <c r="D68">
        <v>4080</v>
      </c>
      <c r="E68">
        <v>8264</v>
      </c>
      <c r="F68">
        <v>25318</v>
      </c>
      <c r="G68">
        <v>3381503</v>
      </c>
      <c r="H68" t="s">
        <v>748</v>
      </c>
      <c r="I68">
        <v>4326004312</v>
      </c>
      <c r="J68" t="s">
        <v>793</v>
      </c>
    </row>
    <row r="69" spans="3:10" x14ac:dyDescent="0.25">
      <c r="C69" s="113">
        <v>46062</v>
      </c>
      <c r="D69">
        <v>92</v>
      </c>
      <c r="E69">
        <v>13316</v>
      </c>
      <c r="F69">
        <v>25386</v>
      </c>
      <c r="G69">
        <v>3382731</v>
      </c>
      <c r="H69" t="s">
        <v>730</v>
      </c>
      <c r="I69">
        <v>4326258035</v>
      </c>
      <c r="J69" s="114" t="s">
        <v>731</v>
      </c>
    </row>
    <row r="70" spans="3:10" x14ac:dyDescent="0.25">
      <c r="C70" s="113">
        <v>46062</v>
      </c>
      <c r="D70">
        <v>4081</v>
      </c>
      <c r="E70">
        <v>8264</v>
      </c>
      <c r="F70">
        <v>25318</v>
      </c>
      <c r="G70">
        <v>3382706</v>
      </c>
      <c r="H70" t="s">
        <v>710</v>
      </c>
      <c r="I70">
        <v>4326266273</v>
      </c>
      <c r="J70" t="s">
        <v>732</v>
      </c>
    </row>
    <row r="71" spans="3:10" x14ac:dyDescent="0.25">
      <c r="C71" s="113">
        <v>46062</v>
      </c>
      <c r="D71">
        <v>94</v>
      </c>
      <c r="E71">
        <v>8088</v>
      </c>
      <c r="F71">
        <v>25386</v>
      </c>
      <c r="G71">
        <v>3382936</v>
      </c>
      <c r="H71" t="s">
        <v>711</v>
      </c>
      <c r="I71">
        <v>4326497584</v>
      </c>
      <c r="J71" s="114" t="s">
        <v>733</v>
      </c>
    </row>
    <row r="72" spans="3:10" x14ac:dyDescent="0.25">
      <c r="C72" s="113">
        <v>46062</v>
      </c>
      <c r="D72">
        <v>8029</v>
      </c>
      <c r="E72">
        <v>8264</v>
      </c>
      <c r="F72">
        <v>25318</v>
      </c>
      <c r="G72">
        <v>3383313</v>
      </c>
      <c r="H72" t="s">
        <v>794</v>
      </c>
      <c r="I72">
        <v>4326711266</v>
      </c>
      <c r="J72" t="s">
        <v>795</v>
      </c>
    </row>
    <row r="73" spans="3:10" x14ac:dyDescent="0.25">
      <c r="C73" s="113">
        <v>46063</v>
      </c>
      <c r="D73">
        <v>212</v>
      </c>
      <c r="E73">
        <v>12161</v>
      </c>
      <c r="F73">
        <v>25318</v>
      </c>
      <c r="G73">
        <v>3383698</v>
      </c>
      <c r="H73" t="s">
        <v>709</v>
      </c>
      <c r="I73">
        <v>4327110538</v>
      </c>
      <c r="J73" t="s">
        <v>734</v>
      </c>
    </row>
    <row r="74" spans="3:10" x14ac:dyDescent="0.25">
      <c r="C74" s="113">
        <v>46063</v>
      </c>
      <c r="D74">
        <v>92</v>
      </c>
      <c r="E74">
        <v>13316</v>
      </c>
      <c r="F74">
        <v>25386</v>
      </c>
      <c r="G74">
        <v>3383817</v>
      </c>
      <c r="H74" t="s">
        <v>730</v>
      </c>
      <c r="I74">
        <v>4327149104</v>
      </c>
      <c r="J74" s="114" t="s">
        <v>735</v>
      </c>
    </row>
    <row r="75" spans="3:10" x14ac:dyDescent="0.25">
      <c r="C75" s="113">
        <v>46063</v>
      </c>
      <c r="D75">
        <v>856</v>
      </c>
      <c r="E75">
        <v>8264</v>
      </c>
      <c r="F75">
        <v>25318</v>
      </c>
      <c r="G75">
        <v>3383993</v>
      </c>
      <c r="H75" t="s">
        <v>717</v>
      </c>
      <c r="I75">
        <v>4327493729</v>
      </c>
      <c r="J75" t="s">
        <v>736</v>
      </c>
    </row>
    <row r="76" spans="3:10" x14ac:dyDescent="0.25">
      <c r="C76" s="113">
        <v>46063</v>
      </c>
      <c r="D76">
        <v>856</v>
      </c>
      <c r="E76">
        <v>8264</v>
      </c>
      <c r="F76">
        <v>25318</v>
      </c>
      <c r="G76">
        <v>3383993</v>
      </c>
      <c r="H76" t="s">
        <v>717</v>
      </c>
      <c r="I76">
        <v>4327493729</v>
      </c>
      <c r="J76" t="s">
        <v>796</v>
      </c>
    </row>
    <row r="77" spans="3:10" x14ac:dyDescent="0.25">
      <c r="C77" s="113">
        <v>46063</v>
      </c>
      <c r="D77">
        <v>94</v>
      </c>
      <c r="E77">
        <v>8088</v>
      </c>
      <c r="F77">
        <v>25386</v>
      </c>
      <c r="G77">
        <v>3384259</v>
      </c>
      <c r="H77" t="s">
        <v>711</v>
      </c>
      <c r="I77">
        <v>4327544032</v>
      </c>
      <c r="J77" s="114" t="s">
        <v>737</v>
      </c>
    </row>
    <row r="78" spans="3:10" x14ac:dyDescent="0.25">
      <c r="C78" s="113">
        <v>46063</v>
      </c>
      <c r="D78">
        <v>8002</v>
      </c>
      <c r="E78">
        <v>8264</v>
      </c>
      <c r="F78">
        <v>25318</v>
      </c>
      <c r="G78">
        <v>3384402</v>
      </c>
      <c r="H78" t="s">
        <v>738</v>
      </c>
      <c r="I78">
        <v>4327643077</v>
      </c>
      <c r="J78" t="s">
        <v>739</v>
      </c>
    </row>
    <row r="79" spans="3:10" x14ac:dyDescent="0.25">
      <c r="C79" s="113">
        <v>46063</v>
      </c>
      <c r="D79">
        <v>8002</v>
      </c>
      <c r="E79">
        <v>8264</v>
      </c>
      <c r="F79">
        <v>25318</v>
      </c>
      <c r="G79">
        <v>3384402</v>
      </c>
      <c r="H79" t="s">
        <v>738</v>
      </c>
      <c r="I79">
        <v>4327643077</v>
      </c>
      <c r="J79" t="s">
        <v>740</v>
      </c>
    </row>
    <row r="80" spans="3:10" x14ac:dyDescent="0.25">
      <c r="C80" s="113">
        <v>46064</v>
      </c>
      <c r="D80">
        <v>206</v>
      </c>
      <c r="E80">
        <v>12161</v>
      </c>
      <c r="F80">
        <v>25318</v>
      </c>
      <c r="G80">
        <v>3385452</v>
      </c>
      <c r="H80" t="s">
        <v>741</v>
      </c>
      <c r="I80">
        <v>4329687359</v>
      </c>
      <c r="J80" t="s">
        <v>742</v>
      </c>
    </row>
    <row r="81" spans="3:10" x14ac:dyDescent="0.25">
      <c r="C81" s="113">
        <v>46065</v>
      </c>
      <c r="D81">
        <v>92</v>
      </c>
      <c r="E81">
        <v>13316</v>
      </c>
      <c r="F81">
        <v>25386</v>
      </c>
      <c r="G81">
        <v>3386452</v>
      </c>
      <c r="H81" t="s">
        <v>730</v>
      </c>
      <c r="I81">
        <v>4330531127</v>
      </c>
      <c r="J81" s="114" t="s">
        <v>743</v>
      </c>
    </row>
    <row r="82" spans="3:10" x14ac:dyDescent="0.25">
      <c r="C82" s="113">
        <v>46065</v>
      </c>
      <c r="D82">
        <v>4004</v>
      </c>
      <c r="E82">
        <v>8264</v>
      </c>
      <c r="F82">
        <v>25318</v>
      </c>
      <c r="G82">
        <v>3386257</v>
      </c>
      <c r="H82" t="s">
        <v>712</v>
      </c>
      <c r="I82">
        <v>4330534122</v>
      </c>
      <c r="J82" t="s">
        <v>744</v>
      </c>
    </row>
    <row r="83" spans="3:10" x14ac:dyDescent="0.25">
      <c r="C83" s="113">
        <v>46071</v>
      </c>
      <c r="D83">
        <v>73</v>
      </c>
      <c r="E83">
        <v>7638</v>
      </c>
      <c r="F83">
        <v>25386</v>
      </c>
      <c r="G83">
        <v>3387050</v>
      </c>
      <c r="H83" t="s">
        <v>745</v>
      </c>
      <c r="I83">
        <v>4332836267</v>
      </c>
      <c r="J83" t="s">
        <v>746</v>
      </c>
    </row>
    <row r="84" spans="3:10" x14ac:dyDescent="0.25">
      <c r="C84" s="113">
        <v>46071</v>
      </c>
      <c r="D84">
        <v>92</v>
      </c>
      <c r="E84">
        <v>13316</v>
      </c>
      <c r="F84">
        <v>25386</v>
      </c>
      <c r="G84">
        <v>3389344</v>
      </c>
      <c r="H84" t="s">
        <v>730</v>
      </c>
      <c r="I84">
        <v>4334142795</v>
      </c>
      <c r="J84" s="114" t="s">
        <v>747</v>
      </c>
    </row>
    <row r="85" spans="3:10" x14ac:dyDescent="0.25">
      <c r="C85" s="113">
        <v>46071</v>
      </c>
      <c r="D85">
        <v>542</v>
      </c>
      <c r="E85">
        <v>8264</v>
      </c>
      <c r="F85">
        <v>25318</v>
      </c>
      <c r="G85">
        <v>3389516</v>
      </c>
      <c r="H85" t="s">
        <v>748</v>
      </c>
      <c r="I85">
        <v>4334456470</v>
      </c>
      <c r="J85" t="s">
        <v>749</v>
      </c>
    </row>
    <row r="86" spans="3:10" x14ac:dyDescent="0.25">
      <c r="C86" s="113">
        <v>46072</v>
      </c>
      <c r="D86">
        <v>100</v>
      </c>
      <c r="E86">
        <v>7980</v>
      </c>
      <c r="F86">
        <v>25318</v>
      </c>
      <c r="G86">
        <v>3390047</v>
      </c>
      <c r="H86" t="s">
        <v>750</v>
      </c>
      <c r="I86">
        <v>4335021276</v>
      </c>
      <c r="J86" s="114" t="s">
        <v>751</v>
      </c>
    </row>
    <row r="87" spans="3:10" x14ac:dyDescent="0.25">
      <c r="C87" s="113">
        <v>46073</v>
      </c>
      <c r="D87">
        <v>215</v>
      </c>
      <c r="E87">
        <v>12161</v>
      </c>
      <c r="F87">
        <v>25318</v>
      </c>
      <c r="G87">
        <v>3390651</v>
      </c>
      <c r="H87" t="s">
        <v>719</v>
      </c>
      <c r="I87">
        <v>4336043405</v>
      </c>
      <c r="J87" t="s">
        <v>797</v>
      </c>
    </row>
    <row r="88" spans="3:10" x14ac:dyDescent="0.25">
      <c r="C88" s="113">
        <v>46073</v>
      </c>
      <c r="D88">
        <v>206</v>
      </c>
      <c r="E88">
        <v>12161</v>
      </c>
      <c r="F88">
        <v>25318</v>
      </c>
      <c r="G88">
        <v>3390730</v>
      </c>
      <c r="H88" t="s">
        <v>741</v>
      </c>
      <c r="I88">
        <v>4336046353</v>
      </c>
      <c r="J88" t="s">
        <v>798</v>
      </c>
    </row>
    <row r="89" spans="3:10" x14ac:dyDescent="0.25">
      <c r="C89" s="113">
        <v>46073</v>
      </c>
      <c r="D89">
        <v>8010</v>
      </c>
      <c r="E89">
        <v>8264</v>
      </c>
      <c r="F89">
        <v>25318</v>
      </c>
      <c r="G89">
        <v>3391328</v>
      </c>
      <c r="H89" t="s">
        <v>714</v>
      </c>
      <c r="I89">
        <v>4336491486</v>
      </c>
      <c r="J89" t="s">
        <v>752</v>
      </c>
    </row>
    <row r="90" spans="3:10" x14ac:dyDescent="0.25">
      <c r="C90" s="113">
        <v>46077</v>
      </c>
      <c r="D90">
        <v>214</v>
      </c>
      <c r="E90">
        <v>12161</v>
      </c>
      <c r="F90">
        <v>25318</v>
      </c>
      <c r="G90">
        <v>3393101</v>
      </c>
      <c r="H90" t="s">
        <v>726</v>
      </c>
      <c r="I90">
        <v>4339593782</v>
      </c>
      <c r="J90" t="s">
        <v>753</v>
      </c>
    </row>
    <row r="91" spans="3:10" x14ac:dyDescent="0.25">
      <c r="C91" s="113">
        <v>46077</v>
      </c>
      <c r="D91">
        <v>214</v>
      </c>
      <c r="E91">
        <v>12161</v>
      </c>
      <c r="F91">
        <v>25318</v>
      </c>
      <c r="G91">
        <v>3393138</v>
      </c>
      <c r="H91" t="s">
        <v>726</v>
      </c>
      <c r="I91">
        <v>4339642125</v>
      </c>
      <c r="J91" t="s">
        <v>754</v>
      </c>
    </row>
    <row r="92" spans="3:10" x14ac:dyDescent="0.25">
      <c r="C92" s="113">
        <v>46077</v>
      </c>
      <c r="D92">
        <v>214</v>
      </c>
      <c r="E92">
        <v>12161</v>
      </c>
      <c r="F92">
        <v>25318</v>
      </c>
      <c r="G92">
        <v>3393150</v>
      </c>
      <c r="H92" t="s">
        <v>726</v>
      </c>
      <c r="I92">
        <v>4339667393</v>
      </c>
      <c r="J92" t="s">
        <v>755</v>
      </c>
    </row>
    <row r="93" spans="3:10" x14ac:dyDescent="0.25">
      <c r="C93" s="113">
        <v>46077</v>
      </c>
      <c r="D93">
        <v>214</v>
      </c>
      <c r="E93">
        <v>12161</v>
      </c>
      <c r="F93">
        <v>25318</v>
      </c>
      <c r="G93">
        <v>3393175</v>
      </c>
      <c r="H93" t="s">
        <v>726</v>
      </c>
      <c r="I93">
        <v>4339696359</v>
      </c>
      <c r="J93" t="s">
        <v>756</v>
      </c>
    </row>
    <row r="94" spans="3:10" x14ac:dyDescent="0.25">
      <c r="C94" s="113">
        <v>46077</v>
      </c>
      <c r="D94">
        <v>838</v>
      </c>
      <c r="E94">
        <v>8264</v>
      </c>
      <c r="F94">
        <v>25318</v>
      </c>
      <c r="G94">
        <v>3393460</v>
      </c>
      <c r="H94" t="s">
        <v>748</v>
      </c>
      <c r="I94">
        <v>4339974822</v>
      </c>
      <c r="J94" t="s">
        <v>757</v>
      </c>
    </row>
    <row r="95" spans="3:10" x14ac:dyDescent="0.25">
      <c r="C95" s="113">
        <v>46077</v>
      </c>
      <c r="D95">
        <v>214</v>
      </c>
      <c r="E95">
        <v>12161</v>
      </c>
      <c r="F95">
        <v>25318</v>
      </c>
      <c r="G95">
        <v>3393416</v>
      </c>
      <c r="H95" t="s">
        <v>726</v>
      </c>
      <c r="I95">
        <v>4339980164</v>
      </c>
      <c r="J95" t="s">
        <v>758</v>
      </c>
    </row>
    <row r="96" spans="3:10" x14ac:dyDescent="0.25">
      <c r="C96" s="113">
        <v>46077</v>
      </c>
      <c r="D96">
        <v>214</v>
      </c>
      <c r="E96">
        <v>12161</v>
      </c>
      <c r="F96">
        <v>25318</v>
      </c>
      <c r="G96">
        <v>3393699</v>
      </c>
      <c r="H96" t="s">
        <v>726</v>
      </c>
      <c r="I96">
        <v>4340144917</v>
      </c>
      <c r="J96" t="s">
        <v>759</v>
      </c>
    </row>
    <row r="97" spans="3:10" x14ac:dyDescent="0.25">
      <c r="C97" s="113">
        <v>46077</v>
      </c>
      <c r="D97">
        <v>214</v>
      </c>
      <c r="E97">
        <v>12161</v>
      </c>
      <c r="F97">
        <v>25318</v>
      </c>
      <c r="G97">
        <v>3393753</v>
      </c>
      <c r="H97" t="s">
        <v>726</v>
      </c>
      <c r="I97">
        <v>4340154145</v>
      </c>
      <c r="J97" t="s">
        <v>760</v>
      </c>
    </row>
    <row r="98" spans="3:10" x14ac:dyDescent="0.25">
      <c r="C98" s="113">
        <v>46077</v>
      </c>
      <c r="D98">
        <v>214</v>
      </c>
      <c r="E98">
        <v>12161</v>
      </c>
      <c r="F98">
        <v>25318</v>
      </c>
      <c r="G98">
        <v>3393532</v>
      </c>
      <c r="H98" t="s">
        <v>726</v>
      </c>
      <c r="I98">
        <v>4340171172</v>
      </c>
      <c r="J98" t="s">
        <v>761</v>
      </c>
    </row>
    <row r="99" spans="3:10" x14ac:dyDescent="0.25">
      <c r="C99" s="113">
        <v>46077</v>
      </c>
      <c r="D99">
        <v>214</v>
      </c>
      <c r="E99">
        <v>12161</v>
      </c>
      <c r="F99">
        <v>25318</v>
      </c>
      <c r="G99">
        <v>3393779</v>
      </c>
      <c r="H99" t="s">
        <v>726</v>
      </c>
      <c r="I99">
        <v>4340196846</v>
      </c>
      <c r="J99" t="s">
        <v>762</v>
      </c>
    </row>
    <row r="100" spans="3:10" x14ac:dyDescent="0.25">
      <c r="C100" s="113">
        <v>46077</v>
      </c>
      <c r="D100">
        <v>214</v>
      </c>
      <c r="E100">
        <v>12161</v>
      </c>
      <c r="F100">
        <v>25318</v>
      </c>
      <c r="G100">
        <v>3393821</v>
      </c>
      <c r="H100" t="s">
        <v>726</v>
      </c>
      <c r="I100">
        <v>4340200148</v>
      </c>
      <c r="J100" t="s">
        <v>763</v>
      </c>
    </row>
    <row r="101" spans="3:10" x14ac:dyDescent="0.25">
      <c r="C101" s="113">
        <v>46077</v>
      </c>
      <c r="D101">
        <v>214</v>
      </c>
      <c r="E101">
        <v>12161</v>
      </c>
      <c r="F101">
        <v>25318</v>
      </c>
      <c r="G101">
        <v>3393828</v>
      </c>
      <c r="H101" t="s">
        <v>726</v>
      </c>
      <c r="I101">
        <v>4340205899</v>
      </c>
      <c r="J101" t="s">
        <v>764</v>
      </c>
    </row>
    <row r="102" spans="3:10" x14ac:dyDescent="0.25">
      <c r="C102" s="113">
        <v>46078</v>
      </c>
      <c r="D102">
        <v>215</v>
      </c>
      <c r="E102">
        <v>12161</v>
      </c>
      <c r="F102">
        <v>25318</v>
      </c>
      <c r="G102">
        <v>3394149</v>
      </c>
      <c r="H102" t="s">
        <v>719</v>
      </c>
      <c r="I102">
        <v>4341078058</v>
      </c>
      <c r="J102" t="s">
        <v>765</v>
      </c>
    </row>
    <row r="103" spans="3:10" x14ac:dyDescent="0.25">
      <c r="C103" s="113">
        <v>46078</v>
      </c>
      <c r="D103">
        <v>92</v>
      </c>
      <c r="E103">
        <v>13314</v>
      </c>
      <c r="F103">
        <v>25386</v>
      </c>
      <c r="G103">
        <v>3394106</v>
      </c>
      <c r="H103" t="s">
        <v>730</v>
      </c>
      <c r="I103">
        <v>4341083101</v>
      </c>
      <c r="J103" s="114" t="s">
        <v>799</v>
      </c>
    </row>
    <row r="104" spans="3:10" x14ac:dyDescent="0.25">
      <c r="C104" s="113">
        <v>46078</v>
      </c>
      <c r="D104">
        <v>4080</v>
      </c>
      <c r="E104">
        <v>8264</v>
      </c>
      <c r="F104">
        <v>25318</v>
      </c>
      <c r="G104">
        <v>3394945</v>
      </c>
      <c r="H104" t="s">
        <v>748</v>
      </c>
      <c r="I104">
        <v>4341205350</v>
      </c>
      <c r="J104" t="s">
        <v>766</v>
      </c>
    </row>
    <row r="105" spans="3:10" x14ac:dyDescent="0.25">
      <c r="C105" s="113">
        <v>46079</v>
      </c>
      <c r="D105">
        <v>8018</v>
      </c>
      <c r="E105">
        <v>8264</v>
      </c>
      <c r="F105">
        <v>25318</v>
      </c>
      <c r="G105">
        <v>3395821</v>
      </c>
      <c r="H105" t="s">
        <v>800</v>
      </c>
      <c r="I105">
        <v>4341868606</v>
      </c>
      <c r="J105" s="114" t="s">
        <v>799</v>
      </c>
    </row>
    <row r="106" spans="3:10" x14ac:dyDescent="0.25">
      <c r="C106" s="113">
        <v>46079</v>
      </c>
      <c r="D106">
        <v>4007</v>
      </c>
      <c r="E106">
        <v>8264</v>
      </c>
      <c r="F106">
        <v>25318</v>
      </c>
      <c r="G106">
        <v>3395846</v>
      </c>
      <c r="H106" t="s">
        <v>767</v>
      </c>
      <c r="I106">
        <v>4341891715</v>
      </c>
      <c r="J106" t="s">
        <v>768</v>
      </c>
    </row>
    <row r="107" spans="3:10" x14ac:dyDescent="0.25">
      <c r="C107" s="113">
        <v>46080</v>
      </c>
      <c r="D107">
        <v>4027</v>
      </c>
      <c r="E107">
        <v>8264</v>
      </c>
      <c r="F107">
        <v>25318</v>
      </c>
      <c r="G107">
        <v>3396133</v>
      </c>
      <c r="H107" t="s">
        <v>713</v>
      </c>
      <c r="I107">
        <v>4342228347</v>
      </c>
      <c r="J107" t="s">
        <v>801</v>
      </c>
    </row>
    <row r="108" spans="3:10" x14ac:dyDescent="0.25">
      <c r="C108" s="113">
        <v>46080</v>
      </c>
      <c r="D108">
        <v>474</v>
      </c>
      <c r="E108">
        <v>8264</v>
      </c>
      <c r="F108">
        <v>25318</v>
      </c>
      <c r="G108">
        <v>3396321</v>
      </c>
      <c r="H108" t="s">
        <v>789</v>
      </c>
      <c r="I108">
        <v>4342321491</v>
      </c>
      <c r="J108" t="s">
        <v>802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MAR 2026</vt:lpstr>
      <vt:lpstr>rateio</vt:lpstr>
      <vt:lpstr>REGIONAIS-GEREX</vt:lpstr>
      <vt:lpstr>EXT. SINTÉTICO</vt:lpstr>
      <vt:lpstr>DÉBITO VSC</vt:lpstr>
      <vt:lpstr>CRÉDITO</vt:lpstr>
      <vt:lpstr>SEDEX REVERSO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Valci Aristeu Peres Junior</dc:creator>
  <cp:lastModifiedBy>FELIPE SAMUEL SANTANA FERREIRA</cp:lastModifiedBy>
  <cp:lastPrinted>2024-08-12T21:35:41Z</cp:lastPrinted>
  <dcterms:created xsi:type="dcterms:W3CDTF">2014-03-25T20:08:47Z</dcterms:created>
  <dcterms:modified xsi:type="dcterms:W3CDTF">2026-03-31T18:16:12Z</dcterms:modified>
</cp:coreProperties>
</file>